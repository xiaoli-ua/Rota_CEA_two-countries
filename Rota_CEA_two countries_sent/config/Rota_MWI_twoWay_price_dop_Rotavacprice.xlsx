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6BD1D750-5474-744B-94DB-99F406E3E291}" xr6:coauthVersionLast="47" xr6:coauthVersionMax="47" xr10:uidLastSave="{00000000-0000-0000-0000-000000000000}"/>
  <bookViews>
    <workbookView xWindow="0" yWindow="0" windowWidth="28800" windowHeight="1696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2" i="1"/>
</calcChain>
</file>

<file path=xl/sharedStrings.xml><?xml version="1.0" encoding="utf-8"?>
<sst xmlns="http://schemas.openxmlformats.org/spreadsheetml/2006/main" count="208" uniqueCount="47">
  <si>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</si>
  <si>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</si>
  <si>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</si>
  <si>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</si>
  <si>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</si>
  <si>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</si>
  <si>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</si>
  <si>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</si>
  <si>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</si>
  <si>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</si>
  <si>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</si>
  <si>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</si>
  <si>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</si>
  <si>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</si>
  <si>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</si>
  <si>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</si>
  <si>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</si>
  <si>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</si>
  <si>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</si>
  <si>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implementation_cost_newVac_mean</t>
  </si>
  <si>
    <t>implementation_cost_newVac_min</t>
  </si>
  <si>
    <t>implementation_cost_newVac_max</t>
  </si>
  <si>
    <t>twoWay_price</t>
  </si>
  <si>
    <t>Rotavac</t>
  </si>
  <si>
    <t>Rotavac_price_mean</t>
  </si>
  <si>
    <t>Rotavac_price_LCI</t>
  </si>
  <si>
    <t>Rotavac_price_UCI</t>
  </si>
  <si>
    <t>RV3BB</t>
  </si>
  <si>
    <t>Societal</t>
  </si>
  <si>
    <t>RV3BB_mean</t>
  </si>
  <si>
    <t>RV3BB_min</t>
  </si>
  <si>
    <t>RV3BB_max</t>
  </si>
  <si>
    <t>Baseline</t>
  </si>
  <si>
    <t>comparator</t>
  </si>
  <si>
    <t>baseline</t>
  </si>
  <si>
    <t>higherRotavac_Societal</t>
  </si>
  <si>
    <t>lowerRotavac_Societal</t>
  </si>
  <si>
    <t>delivery_cost_mean</t>
  </si>
  <si>
    <t>delivery_cost_min</t>
  </si>
  <si>
    <t>delivery_cost_max</t>
  </si>
  <si>
    <t>SuspVacc</t>
  </si>
  <si>
    <t>Rotarix_6to10</t>
  </si>
  <si>
    <t>Rotarix_6to10to14</t>
  </si>
  <si>
    <t>Rotavac_6to10to14</t>
  </si>
  <si>
    <t>RV3BB_1to6to10</t>
  </si>
  <si>
    <t>higherRotavac_basecase</t>
  </si>
  <si>
    <t>lowerRotavac_basecase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</si>
</sst>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P20" sqref="P20:R21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15" width="18.83203125" style="1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6.1640625" style="1" customWidth="1"/>
    <col min="26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s="1" t="s">
        <v>34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37</v>
      </c>
      <c r="N1" s="1" t="s">
        <v>38</v>
      </c>
      <c r="O1" s="1" t="s">
        <v>39</v>
      </c>
      <c r="P1" s="1" t="s">
        <v>19</v>
      </c>
      <c r="Q1" s="1" t="s">
        <v>20</v>
      </c>
      <c r="R1" s="1" t="s">
        <v>21</v>
      </c>
      <c r="S1" s="1" t="s">
        <v>12</v>
      </c>
      <c r="T1" s="1" t="s">
        <v>13</v>
      </c>
      <c r="U1" s="1" t="s">
        <v>14</v>
      </c>
      <c r="V1" s="1" t="s">
        <v>29</v>
      </c>
      <c r="W1" s="1" t="s">
        <v>30</v>
      </c>
      <c r="X1" s="1" t="s">
        <v>31</v>
      </c>
      <c r="Y1" t="s">
        <v>24</v>
      </c>
      <c r="Z1" t="s">
        <v>25</v>
      </c>
      <c r="AA1" t="s">
        <v>26</v>
      </c>
      <c r="AB1" t="s">
        <v>1</v>
      </c>
    </row>
    <row r="2" spans="1:29" x14ac:dyDescent="0.2">
      <c r="A2" t="s">
        <v>45</v>
      </c>
      <c r="B2" s="1" t="s">
        <v>9</v>
      </c>
      <c r="C2" s="1" t="s">
        <v>8</v>
      </c>
      <c r="D2" s="1" t="s">
        <v>10</v>
      </c>
      <c r="E2" s="1" t="s">
        <v>41</v>
      </c>
      <c r="F2" s="1" t="s">
        <v>32</v>
      </c>
      <c r="G2" s="5">
        <v>2</v>
      </c>
      <c r="H2" s="5">
        <v>10</v>
      </c>
      <c r="I2" s="4">
        <v>0.03</v>
      </c>
      <c r="J2" s="4">
        <v>0.03</v>
      </c>
      <c r="K2" s="1" t="s">
        <v>6</v>
      </c>
      <c r="L2" s="1" t="s">
        <v>22</v>
      </c>
      <c r="M2" s="1">
        <v>1.74</v>
      </c>
      <c r="N2" s="1">
        <v>0.75</v>
      </c>
      <c r="O2" s="1">
        <v>2.17</v>
      </c>
      <c r="P2" s="3">
        <v>0</v>
      </c>
      <c r="Q2" s="3">
        <v>0</v>
      </c>
      <c r="R2" s="3">
        <v>0</v>
      </c>
      <c r="S2" s="2">
        <v>1.79</v>
      </c>
      <c r="T2" s="2">
        <v>1.79</v>
      </c>
      <c r="U2" s="2">
        <v>1.79</v>
      </c>
      <c r="V2" s="2">
        <f>Y2</f>
        <v>1.1499999999999999</v>
      </c>
      <c r="W2" s="2">
        <v>0.5</v>
      </c>
      <c r="X2" s="2">
        <v>4.5</v>
      </c>
      <c r="Y2">
        <v>1.1499999999999999</v>
      </c>
      <c r="Z2">
        <v>1.1499999999999999</v>
      </c>
      <c r="AA2">
        <v>1.1499999999999999</v>
      </c>
      <c r="AB2" t="s">
        <v>8</v>
      </c>
      <c r="AC2"/>
    </row>
    <row r="3" spans="1:29" ht="18" customHeight="1" x14ac:dyDescent="0.2">
      <c r="A3" t="s">
        <v>45</v>
      </c>
      <c r="B3" s="1" t="s">
        <v>9</v>
      </c>
      <c r="C3" s="1" t="s">
        <v>8</v>
      </c>
      <c r="D3" t="s">
        <v>40</v>
      </c>
      <c r="E3" s="1" t="s">
        <v>40</v>
      </c>
      <c r="F3" s="1" t="s">
        <v>33</v>
      </c>
      <c r="G3" s="5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22</v>
      </c>
      <c r="M3" s="1">
        <v>1.74</v>
      </c>
      <c r="N3" s="1">
        <v>0.75</v>
      </c>
      <c r="O3" s="1">
        <v>2.17</v>
      </c>
      <c r="P3" s="3">
        <v>0</v>
      </c>
      <c r="Q3" s="3">
        <v>0</v>
      </c>
      <c r="R3" s="3">
        <v>0</v>
      </c>
      <c r="S3" s="2">
        <v>1.79</v>
      </c>
      <c r="T3" s="2">
        <v>1.79</v>
      </c>
      <c r="U3" s="2">
        <v>1.79</v>
      </c>
      <c r="V3" s="2">
        <f t="shared" ref="V3:V11" si="0">Y3</f>
        <v>1.1499999999999999</v>
      </c>
      <c r="W3" s="2">
        <v>0.5</v>
      </c>
      <c r="X3" s="2">
        <v>4.5</v>
      </c>
      <c r="Y3">
        <v>1.1499999999999999</v>
      </c>
      <c r="Z3">
        <v>1.1499999999999999</v>
      </c>
      <c r="AA3">
        <v>1.1499999999999999</v>
      </c>
      <c r="AB3" t="s">
        <v>8</v>
      </c>
      <c r="AC3"/>
    </row>
    <row r="4" spans="1:29" ht="18" customHeight="1" x14ac:dyDescent="0.2">
      <c r="A4" t="s">
        <v>45</v>
      </c>
      <c r="B4" s="1" t="s">
        <v>9</v>
      </c>
      <c r="C4" s="1" t="s">
        <v>8</v>
      </c>
      <c r="D4" s="1" t="s">
        <v>10</v>
      </c>
      <c r="E4" s="1" t="s">
        <v>42</v>
      </c>
      <c r="F4" s="1" t="s">
        <v>33</v>
      </c>
      <c r="G4" s="5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22</v>
      </c>
      <c r="M4" s="1">
        <v>1.74</v>
      </c>
      <c r="N4" s="1">
        <v>0.75</v>
      </c>
      <c r="O4" s="1">
        <v>2.17</v>
      </c>
      <c r="P4" s="3">
        <v>0</v>
      </c>
      <c r="Q4" s="3">
        <v>0</v>
      </c>
      <c r="R4" s="3">
        <v>0</v>
      </c>
      <c r="S4" s="2">
        <v>1.79</v>
      </c>
      <c r="T4" s="2">
        <v>1.79</v>
      </c>
      <c r="U4" s="2">
        <v>1.79</v>
      </c>
      <c r="V4" s="2">
        <f t="shared" si="0"/>
        <v>1.1499999999999999</v>
      </c>
      <c r="W4" s="2">
        <v>0.5</v>
      </c>
      <c r="X4" s="2">
        <v>4.5</v>
      </c>
      <c r="Y4">
        <v>1.1499999999999999</v>
      </c>
      <c r="Z4">
        <v>1.1499999999999999</v>
      </c>
      <c r="AA4">
        <v>1.1499999999999999</v>
      </c>
      <c r="AB4" t="s">
        <v>8</v>
      </c>
      <c r="AC4"/>
    </row>
    <row r="5" spans="1:29" x14ac:dyDescent="0.2">
      <c r="A5" t="s">
        <v>45</v>
      </c>
      <c r="B5" s="1" t="s">
        <v>9</v>
      </c>
      <c r="C5" s="1" t="s">
        <v>8</v>
      </c>
      <c r="D5" s="1" t="s">
        <v>23</v>
      </c>
      <c r="E5" s="1" t="s">
        <v>43</v>
      </c>
      <c r="F5" s="1" t="s">
        <v>33</v>
      </c>
      <c r="G5" s="5">
        <v>3</v>
      </c>
      <c r="H5" s="5">
        <v>10</v>
      </c>
      <c r="I5" s="4">
        <v>0.03</v>
      </c>
      <c r="J5" s="4">
        <v>0.03</v>
      </c>
      <c r="K5" s="1" t="s">
        <v>6</v>
      </c>
      <c r="L5" s="1" t="s">
        <v>22</v>
      </c>
      <c r="M5" s="1">
        <v>1.74</v>
      </c>
      <c r="N5" s="1">
        <v>0.75</v>
      </c>
      <c r="O5" s="1">
        <v>2.17</v>
      </c>
      <c r="P5" s="3">
        <v>1000000</v>
      </c>
      <c r="Q5" s="3">
        <v>1000000</v>
      </c>
      <c r="R5" s="3">
        <v>1000000</v>
      </c>
      <c r="S5" s="2">
        <v>1.79</v>
      </c>
      <c r="T5" s="2">
        <v>1.79</v>
      </c>
      <c r="U5" s="2">
        <v>1.79</v>
      </c>
      <c r="V5" s="2">
        <f t="shared" si="0"/>
        <v>1.1499999999999999</v>
      </c>
      <c r="W5" s="2">
        <v>0.5</v>
      </c>
      <c r="X5" s="2">
        <v>4.5</v>
      </c>
      <c r="Y5">
        <v>1.1499999999999999</v>
      </c>
      <c r="Z5">
        <v>1.1499999999999999</v>
      </c>
      <c r="AA5">
        <v>1.1499999999999999</v>
      </c>
      <c r="AB5" t="s">
        <v>8</v>
      </c>
    </row>
    <row r="6" spans="1:29" x14ac:dyDescent="0.2">
      <c r="A6" t="s">
        <v>45</v>
      </c>
      <c r="B6" s="1" t="s">
        <v>9</v>
      </c>
      <c r="C6" s="1" t="s">
        <v>8</v>
      </c>
      <c r="D6" s="1" t="s">
        <v>27</v>
      </c>
      <c r="E6" s="1" t="s">
        <v>44</v>
      </c>
      <c r="F6" s="1" t="s">
        <v>33</v>
      </c>
      <c r="G6" s="5">
        <v>3</v>
      </c>
      <c r="H6" s="5">
        <v>10</v>
      </c>
      <c r="I6" s="4">
        <v>0.03</v>
      </c>
      <c r="J6" s="4">
        <v>0.03</v>
      </c>
      <c r="K6" s="1" t="s">
        <v>6</v>
      </c>
      <c r="L6" s="1" t="s">
        <v>22</v>
      </c>
      <c r="M6" s="1">
        <v>1.74</v>
      </c>
      <c r="N6" s="1">
        <v>0.75</v>
      </c>
      <c r="O6" s="1">
        <v>2.17</v>
      </c>
      <c r="P6" s="3">
        <v>1000000</v>
      </c>
      <c r="Q6" s="3">
        <v>1000000</v>
      </c>
      <c r="R6" s="3">
        <v>1000000</v>
      </c>
      <c r="S6" s="2">
        <v>1.79</v>
      </c>
      <c r="T6" s="2">
        <v>1.79</v>
      </c>
      <c r="U6" s="2">
        <v>1.79</v>
      </c>
      <c r="V6" s="2">
        <f t="shared" si="0"/>
        <v>1.1499999999999999</v>
      </c>
      <c r="W6" s="2">
        <v>0.5</v>
      </c>
      <c r="X6" s="2">
        <v>4.5</v>
      </c>
      <c r="Y6">
        <v>1.1499999999999999</v>
      </c>
      <c r="Z6">
        <v>1.1499999999999999</v>
      </c>
      <c r="AA6">
        <v>1.1499999999999999</v>
      </c>
      <c r="AB6" t="s">
        <v>8</v>
      </c>
    </row>
    <row r="7" spans="1:29" x14ac:dyDescent="0.2">
      <c r="A7" s="6" t="s">
        <v>35</v>
      </c>
      <c r="B7" s="1" t="s">
        <v>9</v>
      </c>
      <c r="C7" s="1" t="s">
        <v>8</v>
      </c>
      <c r="D7" s="1" t="s">
        <v>10</v>
      </c>
      <c r="E7" s="1" t="s">
        <v>41</v>
      </c>
      <c r="F7" s="1" t="s">
        <v>32</v>
      </c>
      <c r="G7" s="5">
        <v>2</v>
      </c>
      <c r="H7" s="5">
        <v>10</v>
      </c>
      <c r="I7" s="4">
        <v>0.03</v>
      </c>
      <c r="J7" s="4">
        <v>0.03</v>
      </c>
      <c r="K7" s="1" t="s">
        <v>28</v>
      </c>
      <c r="L7" s="1" t="s">
        <v>22</v>
      </c>
      <c r="M7" s="1">
        <v>1.74</v>
      </c>
      <c r="N7" s="1">
        <v>0.75</v>
      </c>
      <c r="O7" s="1">
        <v>2.17</v>
      </c>
      <c r="P7" s="3">
        <v>0</v>
      </c>
      <c r="Q7" s="3">
        <v>0</v>
      </c>
      <c r="R7" s="3">
        <v>0</v>
      </c>
      <c r="S7" s="2">
        <v>1.79</v>
      </c>
      <c r="T7" s="2">
        <v>1.79</v>
      </c>
      <c r="U7" s="2">
        <v>1.79</v>
      </c>
      <c r="V7" s="2">
        <f t="shared" si="0"/>
        <v>1.1499999999999999</v>
      </c>
      <c r="W7" s="2">
        <v>0.5</v>
      </c>
      <c r="X7" s="2">
        <v>4.5</v>
      </c>
      <c r="Y7">
        <v>1.1499999999999999</v>
      </c>
      <c r="Z7">
        <v>1.1499999999999999</v>
      </c>
      <c r="AA7">
        <v>1.1499999999999999</v>
      </c>
      <c r="AB7" t="s">
        <v>8</v>
      </c>
      <c r="AC7"/>
    </row>
    <row r="8" spans="1:29" ht="18" customHeight="1" x14ac:dyDescent="0.2">
      <c r="A8" s="6" t="s">
        <v>35</v>
      </c>
      <c r="B8" s="1" t="s">
        <v>9</v>
      </c>
      <c r="C8" s="1" t="s">
        <v>8</v>
      </c>
      <c r="D8" t="s">
        <v>40</v>
      </c>
      <c r="E8" s="1" t="s">
        <v>40</v>
      </c>
      <c r="F8" s="1" t="s">
        <v>33</v>
      </c>
      <c r="G8" s="5">
        <v>0</v>
      </c>
      <c r="H8" s="5">
        <v>10</v>
      </c>
      <c r="I8" s="4">
        <v>0.03</v>
      </c>
      <c r="J8" s="4">
        <v>0.03</v>
      </c>
      <c r="K8" s="1" t="s">
        <v>28</v>
      </c>
      <c r="L8" s="1" t="s">
        <v>22</v>
      </c>
      <c r="M8" s="1">
        <v>1.74</v>
      </c>
      <c r="N8" s="1">
        <v>0.75</v>
      </c>
      <c r="O8" s="1">
        <v>2.17</v>
      </c>
      <c r="P8" s="3">
        <v>0</v>
      </c>
      <c r="Q8" s="3">
        <v>0</v>
      </c>
      <c r="R8" s="3">
        <v>0</v>
      </c>
      <c r="S8" s="2">
        <v>1.79</v>
      </c>
      <c r="T8" s="2">
        <v>1.79</v>
      </c>
      <c r="U8" s="2">
        <v>1.79</v>
      </c>
      <c r="V8" s="2">
        <f t="shared" si="0"/>
        <v>1.1499999999999999</v>
      </c>
      <c r="W8" s="2">
        <v>0.5</v>
      </c>
      <c r="X8" s="2">
        <v>4.5</v>
      </c>
      <c r="Y8">
        <v>1.1499999999999999</v>
      </c>
      <c r="Z8">
        <v>1.1499999999999999</v>
      </c>
      <c r="AA8">
        <v>1.1499999999999999</v>
      </c>
      <c r="AB8" t="s">
        <v>8</v>
      </c>
      <c r="AC8"/>
    </row>
    <row r="9" spans="1:29" ht="18" customHeight="1" x14ac:dyDescent="0.2">
      <c r="A9" s="6" t="s">
        <v>35</v>
      </c>
      <c r="B9" s="1" t="s">
        <v>9</v>
      </c>
      <c r="C9" s="1" t="s">
        <v>8</v>
      </c>
      <c r="D9" s="1" t="s">
        <v>10</v>
      </c>
      <c r="E9" s="1" t="s">
        <v>42</v>
      </c>
      <c r="F9" s="1" t="s">
        <v>33</v>
      </c>
      <c r="G9" s="5">
        <v>3</v>
      </c>
      <c r="H9" s="5">
        <v>10</v>
      </c>
      <c r="I9" s="4">
        <v>0.03</v>
      </c>
      <c r="J9" s="4">
        <v>0.03</v>
      </c>
      <c r="K9" s="1" t="s">
        <v>28</v>
      </c>
      <c r="L9" s="1" t="s">
        <v>22</v>
      </c>
      <c r="M9" s="1">
        <v>1.74</v>
      </c>
      <c r="N9" s="1">
        <v>0.75</v>
      </c>
      <c r="O9" s="1">
        <v>2.17</v>
      </c>
      <c r="P9" s="3">
        <v>0</v>
      </c>
      <c r="Q9" s="3">
        <v>0</v>
      </c>
      <c r="R9" s="3">
        <v>0</v>
      </c>
      <c r="S9" s="2">
        <v>1.79</v>
      </c>
      <c r="T9" s="2">
        <v>1.79</v>
      </c>
      <c r="U9" s="2">
        <v>1.79</v>
      </c>
      <c r="V9" s="2">
        <f t="shared" si="0"/>
        <v>1.1499999999999999</v>
      </c>
      <c r="W9" s="2">
        <v>0.5</v>
      </c>
      <c r="X9" s="2">
        <v>4.5</v>
      </c>
      <c r="Y9">
        <v>1.1499999999999999</v>
      </c>
      <c r="Z9">
        <v>1.1499999999999999</v>
      </c>
      <c r="AA9">
        <v>1.1499999999999999</v>
      </c>
      <c r="AB9" t="s">
        <v>8</v>
      </c>
      <c r="AC9"/>
    </row>
    <row r="10" spans="1:29" x14ac:dyDescent="0.2">
      <c r="A10" s="6" t="s">
        <v>35</v>
      </c>
      <c r="B10" s="1" t="s">
        <v>9</v>
      </c>
      <c r="C10" s="1" t="s">
        <v>8</v>
      </c>
      <c r="D10" s="1" t="s">
        <v>23</v>
      </c>
      <c r="E10" s="1" t="s">
        <v>43</v>
      </c>
      <c r="F10" s="1" t="s">
        <v>33</v>
      </c>
      <c r="G10" s="5">
        <v>3</v>
      </c>
      <c r="H10" s="5">
        <v>10</v>
      </c>
      <c r="I10" s="4">
        <v>0.03</v>
      </c>
      <c r="J10" s="4">
        <v>0.03</v>
      </c>
      <c r="K10" s="1" t="s">
        <v>28</v>
      </c>
      <c r="L10" s="1" t="s">
        <v>22</v>
      </c>
      <c r="M10" s="1">
        <v>1.74</v>
      </c>
      <c r="N10" s="1">
        <v>0.75</v>
      </c>
      <c r="O10" s="1">
        <v>2.17</v>
      </c>
      <c r="P10" s="3">
        <v>1000000</v>
      </c>
      <c r="Q10" s="3">
        <v>1000000</v>
      </c>
      <c r="R10" s="3">
        <v>1000000</v>
      </c>
      <c r="S10" s="2">
        <v>1.79</v>
      </c>
      <c r="T10" s="2">
        <v>1.79</v>
      </c>
      <c r="U10" s="2">
        <v>1.79</v>
      </c>
      <c r="V10" s="2">
        <f t="shared" si="0"/>
        <v>1.1499999999999999</v>
      </c>
      <c r="W10" s="2">
        <v>0.5</v>
      </c>
      <c r="X10" s="2">
        <v>4.5</v>
      </c>
      <c r="Y10">
        <v>1.1499999999999999</v>
      </c>
      <c r="Z10">
        <v>1.1499999999999999</v>
      </c>
      <c r="AA10">
        <v>1.1499999999999999</v>
      </c>
      <c r="AB10" t="s">
        <v>8</v>
      </c>
    </row>
    <row r="11" spans="1:29" x14ac:dyDescent="0.2">
      <c r="A11" s="6" t="s">
        <v>35</v>
      </c>
      <c r="B11" s="1" t="s">
        <v>9</v>
      </c>
      <c r="C11" s="1" t="s">
        <v>8</v>
      </c>
      <c r="D11" s="1" t="s">
        <v>27</v>
      </c>
      <c r="E11" s="1" t="s">
        <v>44</v>
      </c>
      <c r="F11" s="1" t="s">
        <v>33</v>
      </c>
      <c r="G11" s="5">
        <v>3</v>
      </c>
      <c r="H11" s="5">
        <v>10</v>
      </c>
      <c r="I11" s="4">
        <v>0.03</v>
      </c>
      <c r="J11" s="4">
        <v>0.03</v>
      </c>
      <c r="K11" s="1" t="s">
        <v>28</v>
      </c>
      <c r="L11" s="1" t="s">
        <v>22</v>
      </c>
      <c r="M11" s="1">
        <v>1.74</v>
      </c>
      <c r="N11" s="1">
        <v>0.75</v>
      </c>
      <c r="O11" s="1">
        <v>2.17</v>
      </c>
      <c r="P11" s="3">
        <v>1000000</v>
      </c>
      <c r="Q11" s="3">
        <v>1000000</v>
      </c>
      <c r="R11" s="3">
        <v>1000000</v>
      </c>
      <c r="S11" s="2">
        <v>1.79</v>
      </c>
      <c r="T11" s="2">
        <v>1.79</v>
      </c>
      <c r="U11" s="2">
        <v>1.79</v>
      </c>
      <c r="V11" s="2">
        <f t="shared" si="0"/>
        <v>1.1499999999999999</v>
      </c>
      <c r="W11" s="2">
        <v>0.5</v>
      </c>
      <c r="X11" s="2">
        <v>4.5</v>
      </c>
      <c r="Y11">
        <v>1.1499999999999999</v>
      </c>
      <c r="Z11">
        <v>1.1499999999999999</v>
      </c>
      <c r="AA11">
        <v>1.1499999999999999</v>
      </c>
      <c r="AB11" t="s">
        <v>8</v>
      </c>
    </row>
    <row r="12" spans="1:29" x14ac:dyDescent="0.2">
      <c r="A12" t="s">
        <v>46</v>
      </c>
      <c r="B12" s="1" t="s">
        <v>9</v>
      </c>
      <c r="C12" s="1" t="s">
        <v>8</v>
      </c>
      <c r="D12" s="1" t="s">
        <v>10</v>
      </c>
      <c r="E12" s="1" t="s">
        <v>41</v>
      </c>
      <c r="F12" s="1" t="s">
        <v>32</v>
      </c>
      <c r="G12" s="5">
        <v>2</v>
      </c>
      <c r="H12" s="5">
        <v>10</v>
      </c>
      <c r="I12" s="4">
        <v>0.03</v>
      </c>
      <c r="J12" s="4">
        <v>0.03</v>
      </c>
      <c r="K12" s="1" t="s">
        <v>6</v>
      </c>
      <c r="L12" s="1" t="s">
        <v>22</v>
      </c>
      <c r="M12" s="1">
        <v>1.74</v>
      </c>
      <c r="N12" s="1">
        <v>0.75</v>
      </c>
      <c r="O12" s="1">
        <v>2.17</v>
      </c>
      <c r="P12" s="3">
        <v>0</v>
      </c>
      <c r="Q12" s="3">
        <v>0</v>
      </c>
      <c r="R12" s="3">
        <v>0</v>
      </c>
      <c r="S12" s="2">
        <v>1.79</v>
      </c>
      <c r="T12" s="2">
        <v>1.79</v>
      </c>
      <c r="U12" s="2">
        <v>1.79</v>
      </c>
      <c r="V12">
        <v>0.6</v>
      </c>
      <c r="W12" s="2">
        <v>0.5</v>
      </c>
      <c r="X12" s="2">
        <v>4.5</v>
      </c>
      <c r="Y12">
        <v>0.6</v>
      </c>
      <c r="Z12">
        <v>0.6</v>
      </c>
      <c r="AA12">
        <v>0.6</v>
      </c>
      <c r="AB12" t="s">
        <v>8</v>
      </c>
      <c r="AC12"/>
    </row>
    <row r="13" spans="1:29" ht="18" customHeight="1" x14ac:dyDescent="0.2">
      <c r="A13" t="s">
        <v>46</v>
      </c>
      <c r="B13" s="1" t="s">
        <v>9</v>
      </c>
      <c r="C13" s="1" t="s">
        <v>8</v>
      </c>
      <c r="D13" t="s">
        <v>40</v>
      </c>
      <c r="E13" s="1" t="s">
        <v>40</v>
      </c>
      <c r="F13" s="1" t="s">
        <v>33</v>
      </c>
      <c r="G13" s="5">
        <v>0</v>
      </c>
      <c r="H13" s="5">
        <v>10</v>
      </c>
      <c r="I13" s="4">
        <v>0.03</v>
      </c>
      <c r="J13" s="4">
        <v>0.03</v>
      </c>
      <c r="K13" s="1" t="s">
        <v>6</v>
      </c>
      <c r="L13" s="1" t="s">
        <v>22</v>
      </c>
      <c r="M13" s="1">
        <v>1.74</v>
      </c>
      <c r="N13" s="1">
        <v>0.75</v>
      </c>
      <c r="O13" s="1">
        <v>2.17</v>
      </c>
      <c r="P13" s="3">
        <v>0</v>
      </c>
      <c r="Q13" s="3">
        <v>0</v>
      </c>
      <c r="R13" s="3">
        <v>0</v>
      </c>
      <c r="S13" s="2">
        <v>1.79</v>
      </c>
      <c r="T13" s="2">
        <v>1.79</v>
      </c>
      <c r="U13" s="2">
        <v>1.79</v>
      </c>
      <c r="V13">
        <v>0.6</v>
      </c>
      <c r="W13" s="2">
        <v>0.5</v>
      </c>
      <c r="X13" s="2">
        <v>4.5</v>
      </c>
      <c r="Y13">
        <v>0.6</v>
      </c>
      <c r="Z13">
        <v>0.6</v>
      </c>
      <c r="AA13">
        <v>0.6</v>
      </c>
      <c r="AB13" t="s">
        <v>8</v>
      </c>
      <c r="AC13"/>
    </row>
    <row r="14" spans="1:29" ht="18" customHeight="1" x14ac:dyDescent="0.2">
      <c r="A14" t="s">
        <v>46</v>
      </c>
      <c r="B14" s="1" t="s">
        <v>9</v>
      </c>
      <c r="C14" s="1" t="s">
        <v>8</v>
      </c>
      <c r="D14" s="1" t="s">
        <v>10</v>
      </c>
      <c r="E14" s="1" t="s">
        <v>42</v>
      </c>
      <c r="F14" s="1" t="s">
        <v>33</v>
      </c>
      <c r="G14" s="5">
        <v>3</v>
      </c>
      <c r="H14" s="5">
        <v>10</v>
      </c>
      <c r="I14" s="4">
        <v>0.03</v>
      </c>
      <c r="J14" s="4">
        <v>0.03</v>
      </c>
      <c r="K14" s="1" t="s">
        <v>6</v>
      </c>
      <c r="L14" s="1" t="s">
        <v>22</v>
      </c>
      <c r="M14" s="1">
        <v>1.74</v>
      </c>
      <c r="N14" s="1">
        <v>0.75</v>
      </c>
      <c r="O14" s="1">
        <v>2.17</v>
      </c>
      <c r="P14" s="3">
        <v>0</v>
      </c>
      <c r="Q14" s="3">
        <v>0</v>
      </c>
      <c r="R14" s="3">
        <v>0</v>
      </c>
      <c r="S14" s="2">
        <v>1.79</v>
      </c>
      <c r="T14" s="2">
        <v>1.79</v>
      </c>
      <c r="U14" s="2">
        <v>1.79</v>
      </c>
      <c r="V14">
        <v>0.6</v>
      </c>
      <c r="W14" s="2">
        <v>0.5</v>
      </c>
      <c r="X14" s="2">
        <v>4.5</v>
      </c>
      <c r="Y14">
        <v>0.6</v>
      </c>
      <c r="Z14">
        <v>0.6</v>
      </c>
      <c r="AA14">
        <v>0.6</v>
      </c>
      <c r="AB14" t="s">
        <v>8</v>
      </c>
      <c r="AC14"/>
    </row>
    <row r="15" spans="1:29" x14ac:dyDescent="0.2">
      <c r="A15" t="s">
        <v>46</v>
      </c>
      <c r="B15" s="1" t="s">
        <v>9</v>
      </c>
      <c r="C15" s="1" t="s">
        <v>8</v>
      </c>
      <c r="D15" s="1" t="s">
        <v>23</v>
      </c>
      <c r="E15" s="1" t="s">
        <v>43</v>
      </c>
      <c r="F15" s="1" t="s">
        <v>33</v>
      </c>
      <c r="G15" s="5">
        <v>3</v>
      </c>
      <c r="H15" s="5">
        <v>10</v>
      </c>
      <c r="I15" s="4">
        <v>0.03</v>
      </c>
      <c r="J15" s="4">
        <v>0.03</v>
      </c>
      <c r="K15" s="1" t="s">
        <v>6</v>
      </c>
      <c r="L15" s="1" t="s">
        <v>22</v>
      </c>
      <c r="M15" s="1">
        <v>1.74</v>
      </c>
      <c r="N15" s="1">
        <v>0.75</v>
      </c>
      <c r="O15" s="1">
        <v>2.17</v>
      </c>
      <c r="P15" s="3">
        <v>1000000</v>
      </c>
      <c r="Q15" s="3">
        <v>1000000</v>
      </c>
      <c r="R15" s="3">
        <v>1000000</v>
      </c>
      <c r="S15" s="2">
        <v>1.79</v>
      </c>
      <c r="T15" s="2">
        <v>1.79</v>
      </c>
      <c r="U15" s="2">
        <v>1.79</v>
      </c>
      <c r="V15">
        <v>0.6</v>
      </c>
      <c r="W15" s="2">
        <v>0.5</v>
      </c>
      <c r="X15" s="2">
        <v>4.5</v>
      </c>
      <c r="Y15">
        <v>0.6</v>
      </c>
      <c r="Z15">
        <v>0.6</v>
      </c>
      <c r="AA15">
        <v>0.6</v>
      </c>
      <c r="AB15" t="s">
        <v>8</v>
      </c>
    </row>
    <row r="16" spans="1:29" x14ac:dyDescent="0.2">
      <c r="A16" t="s">
        <v>46</v>
      </c>
      <c r="B16" s="1" t="s">
        <v>9</v>
      </c>
      <c r="C16" s="1" t="s">
        <v>8</v>
      </c>
      <c r="D16" s="1" t="s">
        <v>27</v>
      </c>
      <c r="E16" s="1" t="s">
        <v>44</v>
      </c>
      <c r="F16" s="1" t="s">
        <v>33</v>
      </c>
      <c r="G16" s="5">
        <v>3</v>
      </c>
      <c r="H16" s="5">
        <v>10</v>
      </c>
      <c r="I16" s="4">
        <v>0.03</v>
      </c>
      <c r="J16" s="4">
        <v>0.03</v>
      </c>
      <c r="K16" s="1" t="s">
        <v>6</v>
      </c>
      <c r="L16" s="1" t="s">
        <v>22</v>
      </c>
      <c r="M16" s="1">
        <v>1.74</v>
      </c>
      <c r="N16" s="1">
        <v>0.75</v>
      </c>
      <c r="O16" s="1">
        <v>2.17</v>
      </c>
      <c r="P16" s="3">
        <v>1000000</v>
      </c>
      <c r="Q16" s="3">
        <v>1000000</v>
      </c>
      <c r="R16" s="3">
        <v>1000000</v>
      </c>
      <c r="S16" s="2">
        <v>1.79</v>
      </c>
      <c r="T16" s="2">
        <v>1.79</v>
      </c>
      <c r="U16" s="2">
        <v>1.79</v>
      </c>
      <c r="V16">
        <v>0.6</v>
      </c>
      <c r="W16" s="2">
        <v>0.5</v>
      </c>
      <c r="X16" s="2">
        <v>4.5</v>
      </c>
      <c r="Y16">
        <v>0.6</v>
      </c>
      <c r="Z16">
        <v>0.6</v>
      </c>
      <c r="AA16">
        <v>0.6</v>
      </c>
      <c r="AB16" t="s">
        <v>8</v>
      </c>
    </row>
    <row r="17" spans="1:29" x14ac:dyDescent="0.2">
      <c r="A17" s="6" t="s">
        <v>36</v>
      </c>
      <c r="B17" s="1" t="s">
        <v>9</v>
      </c>
      <c r="C17" s="1" t="s">
        <v>8</v>
      </c>
      <c r="D17" s="1" t="s">
        <v>10</v>
      </c>
      <c r="E17" s="1" t="s">
        <v>41</v>
      </c>
      <c r="F17" s="1" t="s">
        <v>32</v>
      </c>
      <c r="G17" s="5">
        <v>2</v>
      </c>
      <c r="H17" s="5">
        <v>10</v>
      </c>
      <c r="I17" s="4">
        <v>0.03</v>
      </c>
      <c r="J17" s="4">
        <v>0.03</v>
      </c>
      <c r="K17" s="1" t="s">
        <v>28</v>
      </c>
      <c r="L17" s="1" t="s">
        <v>22</v>
      </c>
      <c r="M17" s="1">
        <v>1.74</v>
      </c>
      <c r="N17" s="1">
        <v>0.75</v>
      </c>
      <c r="O17" s="1">
        <v>2.17</v>
      </c>
      <c r="P17" s="3">
        <v>0</v>
      </c>
      <c r="Q17" s="3">
        <v>0</v>
      </c>
      <c r="R17" s="3">
        <v>0</v>
      </c>
      <c r="S17" s="2">
        <v>1.79</v>
      </c>
      <c r="T17" s="2">
        <v>1.79</v>
      </c>
      <c r="U17" s="2">
        <v>1.79</v>
      </c>
      <c r="V17">
        <v>0.6</v>
      </c>
      <c r="W17" s="2">
        <v>0.5</v>
      </c>
      <c r="X17" s="2">
        <v>4.5</v>
      </c>
      <c r="Y17">
        <v>0.6</v>
      </c>
      <c r="Z17">
        <v>0.6</v>
      </c>
      <c r="AA17">
        <v>0.6</v>
      </c>
      <c r="AB17" t="s">
        <v>8</v>
      </c>
      <c r="AC17"/>
    </row>
    <row r="18" spans="1:29" ht="18" customHeight="1" x14ac:dyDescent="0.2">
      <c r="A18" s="6" t="s">
        <v>36</v>
      </c>
      <c r="B18" s="1" t="s">
        <v>9</v>
      </c>
      <c r="C18" s="1" t="s">
        <v>8</v>
      </c>
      <c r="D18" t="s">
        <v>40</v>
      </c>
      <c r="E18" s="1" t="s">
        <v>40</v>
      </c>
      <c r="F18" s="1" t="s">
        <v>33</v>
      </c>
      <c r="G18" s="5">
        <v>0</v>
      </c>
      <c r="H18" s="5">
        <v>10</v>
      </c>
      <c r="I18" s="4">
        <v>0.03</v>
      </c>
      <c r="J18" s="4">
        <v>0.03</v>
      </c>
      <c r="K18" s="1" t="s">
        <v>28</v>
      </c>
      <c r="L18" s="1" t="s">
        <v>22</v>
      </c>
      <c r="M18" s="1">
        <v>1.74</v>
      </c>
      <c r="N18" s="1">
        <v>0.75</v>
      </c>
      <c r="O18" s="1">
        <v>2.17</v>
      </c>
      <c r="P18" s="3">
        <v>0</v>
      </c>
      <c r="Q18" s="3">
        <v>0</v>
      </c>
      <c r="R18" s="3">
        <v>0</v>
      </c>
      <c r="S18" s="2">
        <v>1.79</v>
      </c>
      <c r="T18" s="2">
        <v>1.79</v>
      </c>
      <c r="U18" s="2">
        <v>1.79</v>
      </c>
      <c r="V18">
        <v>0.6</v>
      </c>
      <c r="W18" s="2">
        <v>0.5</v>
      </c>
      <c r="X18" s="2">
        <v>4.5</v>
      </c>
      <c r="Y18">
        <v>0.6</v>
      </c>
      <c r="Z18">
        <v>0.6</v>
      </c>
      <c r="AA18">
        <v>0.6</v>
      </c>
      <c r="AB18" t="s">
        <v>8</v>
      </c>
      <c r="AC18"/>
    </row>
    <row r="19" spans="1:29" ht="18" customHeight="1" x14ac:dyDescent="0.2">
      <c r="A19" s="6" t="s">
        <v>36</v>
      </c>
      <c r="B19" s="1" t="s">
        <v>9</v>
      </c>
      <c r="C19" s="1" t="s">
        <v>8</v>
      </c>
      <c r="D19" s="1" t="s">
        <v>10</v>
      </c>
      <c r="E19" s="1" t="s">
        <v>42</v>
      </c>
      <c r="F19" s="1" t="s">
        <v>33</v>
      </c>
      <c r="G19" s="5">
        <v>3</v>
      </c>
      <c r="H19" s="5">
        <v>10</v>
      </c>
      <c r="I19" s="4">
        <v>0.03</v>
      </c>
      <c r="J19" s="4">
        <v>0.03</v>
      </c>
      <c r="K19" s="1" t="s">
        <v>28</v>
      </c>
      <c r="L19" s="1" t="s">
        <v>22</v>
      </c>
      <c r="M19" s="1">
        <v>1.74</v>
      </c>
      <c r="N19" s="1">
        <v>0.75</v>
      </c>
      <c r="O19" s="1">
        <v>2.17</v>
      </c>
      <c r="P19" s="3">
        <v>0</v>
      </c>
      <c r="Q19" s="3">
        <v>0</v>
      </c>
      <c r="R19" s="3">
        <v>0</v>
      </c>
      <c r="S19" s="2">
        <v>1.79</v>
      </c>
      <c r="T19" s="2">
        <v>1.79</v>
      </c>
      <c r="U19" s="2">
        <v>1.79</v>
      </c>
      <c r="V19">
        <v>0.6</v>
      </c>
      <c r="W19" s="2">
        <v>0.5</v>
      </c>
      <c r="X19" s="2">
        <v>4.5</v>
      </c>
      <c r="Y19">
        <v>0.6</v>
      </c>
      <c r="Z19">
        <v>0.6</v>
      </c>
      <c r="AA19">
        <v>0.6</v>
      </c>
      <c r="AB19" t="s">
        <v>8</v>
      </c>
      <c r="AC19"/>
    </row>
    <row r="20" spans="1:29" x14ac:dyDescent="0.2">
      <c r="A20" s="6" t="s">
        <v>36</v>
      </c>
      <c r="B20" s="1" t="s">
        <v>9</v>
      </c>
      <c r="C20" s="1" t="s">
        <v>8</v>
      </c>
      <c r="D20" s="1" t="s">
        <v>23</v>
      </c>
      <c r="E20" s="1" t="s">
        <v>43</v>
      </c>
      <c r="F20" s="1" t="s">
        <v>33</v>
      </c>
      <c r="G20" s="5">
        <v>3</v>
      </c>
      <c r="H20" s="5">
        <v>10</v>
      </c>
      <c r="I20" s="4">
        <v>0.03</v>
      </c>
      <c r="J20" s="4">
        <v>0.03</v>
      </c>
      <c r="K20" s="1" t="s">
        <v>28</v>
      </c>
      <c r="L20" s="1" t="s">
        <v>22</v>
      </c>
      <c r="M20" s="1">
        <v>1.74</v>
      </c>
      <c r="N20" s="1">
        <v>0.75</v>
      </c>
      <c r="O20" s="1">
        <v>2.17</v>
      </c>
      <c r="P20" s="3">
        <v>1000000</v>
      </c>
      <c r="Q20" s="3">
        <v>1000000</v>
      </c>
      <c r="R20" s="3">
        <v>1000000</v>
      </c>
      <c r="S20" s="2">
        <v>1.79</v>
      </c>
      <c r="T20" s="2">
        <v>1.79</v>
      </c>
      <c r="U20" s="2">
        <v>1.79</v>
      </c>
      <c r="V20">
        <v>0.6</v>
      </c>
      <c r="W20" s="2">
        <v>0.5</v>
      </c>
      <c r="X20" s="2">
        <v>4.5</v>
      </c>
      <c r="Y20">
        <v>0.6</v>
      </c>
      <c r="Z20">
        <v>0.6</v>
      </c>
      <c r="AA20">
        <v>0.6</v>
      </c>
      <c r="AB20" t="s">
        <v>8</v>
      </c>
    </row>
    <row r="21" spans="1:29" x14ac:dyDescent="0.2">
      <c r="A21" s="6" t="s">
        <v>36</v>
      </c>
      <c r="B21" s="1" t="s">
        <v>9</v>
      </c>
      <c r="C21" s="1" t="s">
        <v>8</v>
      </c>
      <c r="D21" s="1" t="s">
        <v>27</v>
      </c>
      <c r="E21" s="1" t="s">
        <v>44</v>
      </c>
      <c r="F21" s="1" t="s">
        <v>33</v>
      </c>
      <c r="G21" s="5">
        <v>3</v>
      </c>
      <c r="H21" s="5">
        <v>10</v>
      </c>
      <c r="I21" s="4">
        <v>0.03</v>
      </c>
      <c r="J21" s="4">
        <v>0.03</v>
      </c>
      <c r="K21" s="1" t="s">
        <v>28</v>
      </c>
      <c r="L21" s="1" t="s">
        <v>22</v>
      </c>
      <c r="M21" s="1">
        <v>1.74</v>
      </c>
      <c r="N21" s="1">
        <v>0.75</v>
      </c>
      <c r="O21" s="1">
        <v>2.17</v>
      </c>
      <c r="P21" s="3">
        <v>1000000</v>
      </c>
      <c r="Q21" s="3">
        <v>1000000</v>
      </c>
      <c r="R21" s="3">
        <v>1000000</v>
      </c>
      <c r="S21" s="2">
        <v>1.79</v>
      </c>
      <c r="T21" s="2">
        <v>1.79</v>
      </c>
      <c r="U21" s="2">
        <v>1.79</v>
      </c>
      <c r="V21">
        <v>0.6</v>
      </c>
      <c r="W21" s="2">
        <v>0.5</v>
      </c>
      <c r="X21" s="2">
        <v>4.5</v>
      </c>
      <c r="Y21">
        <v>0.6</v>
      </c>
      <c r="Z21">
        <v>0.6</v>
      </c>
      <c r="AA21">
        <v>0.6</v>
      </c>
      <c r="AB21" t="s">
        <v>8</v>
      </c>
    </row>
    <row r="22" spans="1:29" customFormat="1" ht="18" customHeight="1" x14ac:dyDescent="0.2"/>
    <row r="23" spans="1:29" customFormat="1" x14ac:dyDescent="0.2"/>
    <row r="24" spans="1:29" customFormat="1" x14ac:dyDescent="0.2"/>
    <row r="25" spans="1:29" customFormat="1" x14ac:dyDescent="0.2"/>
    <row r="26" spans="1:29" customFormat="1" x14ac:dyDescent="0.2"/>
    <row r="27" spans="1:29" customFormat="1" x14ac:dyDescent="0.2"/>
    <row r="28" spans="1:29" customFormat="1" ht="18" customHeight="1" x14ac:dyDescent="0.2"/>
    <row r="29" spans="1:29" customFormat="1" ht="18" customHeight="1" x14ac:dyDescent="0.2"/>
    <row r="30" spans="1:29" customFormat="1" x14ac:dyDescent="0.2"/>
    <row r="31" spans="1:29" customFormat="1" x14ac:dyDescent="0.2"/>
    <row r="32" spans="1:29" customFormat="1" x14ac:dyDescent="0.2"/>
    <row r="33" customFormat="1" x14ac:dyDescent="0.2"/>
    <row r="34" customFormat="1" ht="18" customHeight="1" x14ac:dyDescent="0.2"/>
    <row r="35" customFormat="1" ht="18" customHeigh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ht="18" customHeight="1" x14ac:dyDescent="0.2"/>
    <row r="41" customFormat="1" ht="18" customHeigh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ht="18" customHeight="1" x14ac:dyDescent="0.2"/>
    <row r="47" customFormat="1" ht="18" customHeigh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ht="18" customHeight="1" x14ac:dyDescent="0.2"/>
    <row r="53" customFormat="1" ht="18" customHeigh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ht="18" customHeight="1" x14ac:dyDescent="0.2"/>
    <row r="59" customFormat="1" ht="18" customHeigh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ht="18" customHeight="1" x14ac:dyDescent="0.2"/>
    <row r="65" customFormat="1" ht="18" customHeight="1" x14ac:dyDescent="0.2"/>
    <row r="66" customFormat="1" x14ac:dyDescent="0.2"/>
    <row r="67" customFormat="1" x14ac:dyDescent="0.2"/>
    <row r="68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2026-06-30T19:51:08Z</dcterms:modified>
</cp:coreProperties>
</file>