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27CF88C5-FC01-7240-A2F9-7F45AC8D523D}" xr6:coauthVersionLast="47" xr6:coauthVersionMax="47" xr10:uidLastSave="{00000000-0000-0000-0000-000000000000}"/>
  <bookViews>
    <workbookView xWindow="28800" yWindow="-3000" windowWidth="38400" windowHeight="2100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15" i="1" l="1"/>
  <c r="X15" i="1" s="1"/>
  <c r="W16" i="1"/>
  <c r="X16" i="1" s="1"/>
  <c r="W17" i="1"/>
  <c r="X17" i="1"/>
  <c r="W18" i="1"/>
  <c r="X18" i="1" s="1"/>
  <c r="W19" i="1"/>
  <c r="X19" i="1" s="1"/>
  <c r="W14" i="1"/>
  <c r="X14" i="1" s="1"/>
  <c r="W6" i="1"/>
  <c r="X6" i="1"/>
  <c r="W7" i="1"/>
  <c r="X7" i="1" s="1"/>
  <c r="W8" i="1"/>
  <c r="X8" i="1" s="1"/>
  <c r="W9" i="1"/>
  <c r="X9" i="1"/>
  <c r="W10" i="1"/>
  <c r="X10" i="1"/>
  <c r="W5" i="1"/>
  <c r="X5" i="1" s="1"/>
</calcChain>
</file>

<file path=xl/sharedStrings.xml><?xml version="1.0" encoding="utf-8"?>
<sst xmlns="http://schemas.openxmlformats.org/spreadsheetml/2006/main" count="190" uniqueCount="46">
  <si>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</si>
  <si>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</si>
  <si>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</si>
  <si>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</si>
  <si>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</si>
  <si>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</si>
  <si>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</si>
  <si>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</si>
  <si>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</si>
  <si>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</si>
  <si>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</si>
  <si>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</si>
  <si>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</si>
  <si>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</si>
  <si>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</si>
  <si>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</si>
  <si>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implementation_cost_newVac_mean</t>
  </si>
  <si>
    <t>implementation_cost_newVac_min</t>
  </si>
  <si>
    <t>implementation_cost_newVac_max</t>
  </si>
  <si>
    <t>Rotavac</t>
  </si>
  <si>
    <t>Rotavac_price_mean</t>
  </si>
  <si>
    <t>Rotavac_price_LCI</t>
  </si>
  <si>
    <t>Rotavac_price_UCI</t>
  </si>
  <si>
    <t>Ghana</t>
  </si>
  <si>
    <t>GHA</t>
  </si>
  <si>
    <t>RV3BB</t>
  </si>
  <si>
    <t>RV3BB_mean</t>
  </si>
  <si>
    <t>RV3BB_min</t>
  </si>
  <si>
    <t>RV3BB_max</t>
  </si>
  <si>
    <t>OnewayPrice</t>
  </si>
  <si>
    <t>OnewayDoP</t>
  </si>
  <si>
    <t>OnewaySwitchCost</t>
  </si>
  <si>
    <t>baseline</t>
  </si>
  <si>
    <t>Baseline</t>
  </si>
  <si>
    <t>comparator</t>
  </si>
  <si>
    <t>oneWay</t>
  </si>
  <si>
    <t>Societal</t>
  </si>
  <si>
    <t>OnewayPrice_Societal</t>
  </si>
  <si>
    <t>OnewayDoP_Societal</t>
  </si>
  <si>
    <t>OnewaySwitchCost_Societal</t>
  </si>
  <si>
    <t>Rotavac_6to10to14</t>
  </si>
  <si>
    <t>SuspVacc</t>
  </si>
  <si>
    <t>RV3BB_1to6to10</t>
  </si>
  <si>
    <t>delivery_cost_mean</t>
  </si>
  <si>
    <t>delivery_cost_min</t>
  </si>
  <si>
    <t>delivery_cost_max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</si>
</sst>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#,##0_ ;\-#,##0\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2" fontId="18" fillId="0" borderId="0" xfId="0" applyNumberFormat="1" applyFont="1"/>
    <xf numFmtId="43" fontId="18" fillId="0" borderId="0" xfId="42" applyFont="1"/>
    <xf numFmtId="164" fontId="18" fillId="0" borderId="0" xfId="42" applyNumberFormat="1" applyFont="1"/>
    <xf numFmtId="1" fontId="18" fillId="0" borderId="0" xfId="0" applyNumberFormat="1" applyFont="1"/>
    <xf numFmtId="165" fontId="18" fillId="0" borderId="0" xfId="42" applyNumberFormat="1" applyFont="1" applyAlignment="1">
      <alignment horizontal="right"/>
    </xf>
    <xf numFmtId="2" fontId="18" fillId="33" borderId="0" xfId="0" applyNumberFormat="1" applyFont="1" applyFill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"/>
  <sheetViews>
    <sheetView tabSelected="1" zoomScaleNormal="100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P4" sqref="P4"/>
    </sheetView>
  </sheetViews>
  <sheetFormatPr baseColWidth="10" defaultRowHeight="16" x14ac:dyDescent="0.2"/>
  <cols>
    <col min="1" max="1" width="24.6640625" style="1" bestFit="1" customWidth="1"/>
    <col min="2" max="4" width="10.83203125" style="1"/>
    <col min="5" max="5" width="25.5" style="1" bestFit="1" customWidth="1"/>
    <col min="6" max="6" width="15.33203125" style="1" customWidth="1"/>
    <col min="7" max="10" width="10.83203125" style="1"/>
    <col min="11" max="15" width="19.5" customWidth="1"/>
    <col min="16" max="16" width="18.83203125" style="1" bestFit="1" customWidth="1"/>
    <col min="17" max="19" width="18.83203125" style="1" customWidth="1"/>
    <col min="20" max="20" width="23.5" style="1" customWidth="1"/>
    <col min="21" max="21" width="23" style="1" bestFit="1" customWidth="1"/>
    <col min="22" max="22" width="19" style="1" bestFit="1" customWidth="1"/>
    <col min="23" max="23" width="16.1640625" style="1" customWidth="1"/>
    <col min="24" max="24" width="11.33203125" style="1" bestFit="1" customWidth="1"/>
    <col min="25" max="25" width="18.5" style="1" bestFit="1" customWidth="1"/>
    <col min="26" max="26" width="16" style="1" bestFit="1" customWidth="1"/>
    <col min="27" max="27" width="16.6640625" style="1" bestFit="1" customWidth="1"/>
    <col min="28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8</v>
      </c>
      <c r="E1" s="1" t="s">
        <v>15</v>
      </c>
      <c r="F1" s="1" t="s">
        <v>32</v>
      </c>
      <c r="G1" s="1" t="s">
        <v>13</v>
      </c>
      <c r="H1" s="1" t="s">
        <v>14</v>
      </c>
      <c r="I1" t="s">
        <v>4</v>
      </c>
      <c r="J1" t="s">
        <v>3</v>
      </c>
      <c r="K1" s="1" t="s">
        <v>5</v>
      </c>
      <c r="L1" s="1" t="s">
        <v>12</v>
      </c>
      <c r="M1" s="1" t="s">
        <v>43</v>
      </c>
      <c r="N1" s="1" t="s">
        <v>44</v>
      </c>
      <c r="O1" s="1" t="s">
        <v>45</v>
      </c>
      <c r="P1" s="1" t="s">
        <v>16</v>
      </c>
      <c r="Q1" s="1" t="s">
        <v>17</v>
      </c>
      <c r="R1" s="1" t="s">
        <v>18</v>
      </c>
      <c r="S1" s="1" t="s">
        <v>9</v>
      </c>
      <c r="T1" s="1" t="s">
        <v>10</v>
      </c>
      <c r="U1" s="1" t="s">
        <v>11</v>
      </c>
      <c r="V1" s="1" t="s">
        <v>26</v>
      </c>
      <c r="W1" s="1" t="s">
        <v>27</v>
      </c>
      <c r="X1" s="1" t="s">
        <v>28</v>
      </c>
      <c r="Y1" t="s">
        <v>20</v>
      </c>
      <c r="Z1" t="s">
        <v>21</v>
      </c>
      <c r="AA1" t="s">
        <v>22</v>
      </c>
      <c r="AB1" s="1" t="s">
        <v>1</v>
      </c>
    </row>
    <row r="2" spans="1:29" ht="18" customHeight="1" x14ac:dyDescent="0.2">
      <c r="A2" s="1" t="s">
        <v>29</v>
      </c>
      <c r="B2" s="1" t="s">
        <v>23</v>
      </c>
      <c r="C2" s="1" t="s">
        <v>24</v>
      </c>
      <c r="D2" s="1" t="s">
        <v>19</v>
      </c>
      <c r="E2" s="1" t="s">
        <v>40</v>
      </c>
      <c r="F2" t="s">
        <v>33</v>
      </c>
      <c r="G2" s="6">
        <v>3</v>
      </c>
      <c r="H2" s="4">
        <v>10</v>
      </c>
      <c r="I2" s="3">
        <v>0.03</v>
      </c>
      <c r="J2" s="3">
        <v>0.03</v>
      </c>
      <c r="K2" s="1" t="s">
        <v>6</v>
      </c>
      <c r="L2" s="1" t="s">
        <v>35</v>
      </c>
      <c r="M2" s="1">
        <v>2.37</v>
      </c>
      <c r="N2" s="1">
        <v>1.08</v>
      </c>
      <c r="O2" s="1">
        <v>3.65</v>
      </c>
      <c r="P2" s="1">
        <v>0</v>
      </c>
      <c r="Q2">
        <v>0</v>
      </c>
      <c r="R2">
        <v>0</v>
      </c>
      <c r="S2" s="2">
        <v>1.79</v>
      </c>
      <c r="T2" s="2">
        <v>1.79</v>
      </c>
      <c r="U2" s="2">
        <v>1.79</v>
      </c>
      <c r="V2" s="7">
        <v>0.7</v>
      </c>
      <c r="W2" s="7">
        <v>0.5</v>
      </c>
      <c r="X2" s="7">
        <v>4.5</v>
      </c>
      <c r="Y2">
        <v>0.7</v>
      </c>
      <c r="Z2">
        <v>0.7</v>
      </c>
      <c r="AA2">
        <v>0.7</v>
      </c>
      <c r="AB2" s="1" t="s">
        <v>24</v>
      </c>
      <c r="AC2"/>
    </row>
    <row r="3" spans="1:29" ht="18" customHeight="1" x14ac:dyDescent="0.2">
      <c r="A3" s="1" t="s">
        <v>29</v>
      </c>
      <c r="B3" s="1" t="s">
        <v>23</v>
      </c>
      <c r="C3" s="1" t="s">
        <v>24</v>
      </c>
      <c r="D3" s="1" t="s">
        <v>41</v>
      </c>
      <c r="E3" s="1" t="s">
        <v>41</v>
      </c>
      <c r="F3" t="s">
        <v>34</v>
      </c>
      <c r="G3" s="6">
        <v>0</v>
      </c>
      <c r="H3" s="4">
        <v>10</v>
      </c>
      <c r="I3" s="3">
        <v>0.03</v>
      </c>
      <c r="J3" s="3">
        <v>0.03</v>
      </c>
      <c r="K3" s="1" t="s">
        <v>6</v>
      </c>
      <c r="L3" s="1" t="s">
        <v>35</v>
      </c>
      <c r="M3" s="1">
        <v>2.37</v>
      </c>
      <c r="N3" s="1">
        <v>1.08</v>
      </c>
      <c r="O3" s="1">
        <v>3.65</v>
      </c>
      <c r="P3" s="1">
        <v>0</v>
      </c>
      <c r="Q3" s="5">
        <v>0</v>
      </c>
      <c r="R3" s="5">
        <v>0</v>
      </c>
      <c r="S3" s="2">
        <v>1.79</v>
      </c>
      <c r="T3" s="2">
        <v>1.79</v>
      </c>
      <c r="U3" s="2">
        <v>1.79</v>
      </c>
      <c r="V3" s="7">
        <v>0.7</v>
      </c>
      <c r="W3" s="7">
        <v>0.5</v>
      </c>
      <c r="X3" s="7">
        <v>4.5</v>
      </c>
      <c r="Y3">
        <v>0.7</v>
      </c>
      <c r="Z3">
        <v>0.7</v>
      </c>
      <c r="AA3">
        <v>0.7</v>
      </c>
      <c r="AB3" s="1" t="s">
        <v>24</v>
      </c>
      <c r="AC3"/>
    </row>
    <row r="4" spans="1:29" x14ac:dyDescent="0.2">
      <c r="A4" s="1" t="s">
        <v>29</v>
      </c>
      <c r="B4" s="1" t="s">
        <v>23</v>
      </c>
      <c r="C4" s="1" t="s">
        <v>24</v>
      </c>
      <c r="D4" s="1" t="s">
        <v>25</v>
      </c>
      <c r="E4" s="1" t="s">
        <v>42</v>
      </c>
      <c r="F4" t="s">
        <v>34</v>
      </c>
      <c r="G4" s="6">
        <v>3</v>
      </c>
      <c r="H4" s="4">
        <v>10</v>
      </c>
      <c r="I4" s="3">
        <v>0.03</v>
      </c>
      <c r="J4" s="3">
        <v>0.03</v>
      </c>
      <c r="K4" s="1" t="s">
        <v>6</v>
      </c>
      <c r="L4" s="1" t="s">
        <v>35</v>
      </c>
      <c r="M4" s="1">
        <v>2.37</v>
      </c>
      <c r="N4" s="1">
        <v>1.08</v>
      </c>
      <c r="O4" s="1">
        <v>3.65</v>
      </c>
      <c r="P4" s="1">
        <v>1000000</v>
      </c>
      <c r="Q4" s="1">
        <v>1000000</v>
      </c>
      <c r="R4" s="1">
        <v>1000000</v>
      </c>
      <c r="S4" s="2">
        <v>1.79</v>
      </c>
      <c r="T4" s="2">
        <v>1.79</v>
      </c>
      <c r="U4" s="2">
        <v>1.79</v>
      </c>
      <c r="V4" s="7">
        <v>0.7</v>
      </c>
      <c r="W4" s="7">
        <v>0.5</v>
      </c>
      <c r="X4" s="7">
        <v>4.5</v>
      </c>
      <c r="Y4">
        <v>0.7</v>
      </c>
      <c r="Z4">
        <v>0.7</v>
      </c>
      <c r="AA4">
        <v>0.7</v>
      </c>
      <c r="AB4" s="1" t="s">
        <v>24</v>
      </c>
    </row>
    <row r="5" spans="1:29" ht="18" customHeight="1" x14ac:dyDescent="0.2">
      <c r="A5" s="1" t="s">
        <v>30</v>
      </c>
      <c r="B5" s="1" t="s">
        <v>23</v>
      </c>
      <c r="C5" s="1" t="s">
        <v>24</v>
      </c>
      <c r="D5" s="1" t="s">
        <v>19</v>
      </c>
      <c r="E5" s="1" t="s">
        <v>40</v>
      </c>
      <c r="F5" t="s">
        <v>33</v>
      </c>
      <c r="G5" s="4">
        <v>3</v>
      </c>
      <c r="H5" s="4">
        <v>10</v>
      </c>
      <c r="I5" s="3">
        <v>0.03</v>
      </c>
      <c r="J5" s="3">
        <v>0.03</v>
      </c>
      <c r="K5" s="1" t="s">
        <v>6</v>
      </c>
      <c r="L5" s="1" t="s">
        <v>35</v>
      </c>
      <c r="M5" s="1">
        <v>2.37</v>
      </c>
      <c r="N5" s="1">
        <v>1.08</v>
      </c>
      <c r="O5" s="1">
        <v>3.65</v>
      </c>
      <c r="P5" s="1">
        <v>0</v>
      </c>
      <c r="Q5" s="1">
        <v>0</v>
      </c>
      <c r="R5" s="1">
        <v>0</v>
      </c>
      <c r="S5" s="2">
        <v>1.79</v>
      </c>
      <c r="T5" s="2">
        <v>1.79</v>
      </c>
      <c r="U5" s="2">
        <v>1.79</v>
      </c>
      <c r="V5" s="2">
        <v>0.7</v>
      </c>
      <c r="W5" s="2">
        <f>V5</f>
        <v>0.7</v>
      </c>
      <c r="X5" s="2">
        <f t="shared" ref="X5" si="0">W5</f>
        <v>0.7</v>
      </c>
      <c r="Y5">
        <v>0.7</v>
      </c>
      <c r="Z5">
        <v>0.7</v>
      </c>
      <c r="AA5">
        <v>0.7</v>
      </c>
      <c r="AB5" s="1" t="s">
        <v>24</v>
      </c>
    </row>
    <row r="6" spans="1:29" ht="18" customHeight="1" x14ac:dyDescent="0.2">
      <c r="A6" s="1" t="s">
        <v>30</v>
      </c>
      <c r="B6" s="1" t="s">
        <v>23</v>
      </c>
      <c r="C6" s="1" t="s">
        <v>24</v>
      </c>
      <c r="D6" s="1" t="s">
        <v>41</v>
      </c>
      <c r="E6" s="1" t="s">
        <v>41</v>
      </c>
      <c r="F6" t="s">
        <v>34</v>
      </c>
      <c r="G6" s="4">
        <v>0</v>
      </c>
      <c r="H6" s="4">
        <v>10</v>
      </c>
      <c r="I6" s="3">
        <v>0.03</v>
      </c>
      <c r="J6" s="3">
        <v>0.03</v>
      </c>
      <c r="K6" s="1" t="s">
        <v>6</v>
      </c>
      <c r="L6" s="1" t="s">
        <v>35</v>
      </c>
      <c r="M6" s="1">
        <v>2.37</v>
      </c>
      <c r="N6" s="1">
        <v>1.08</v>
      </c>
      <c r="O6" s="1">
        <v>3.65</v>
      </c>
      <c r="P6" s="1">
        <v>0</v>
      </c>
      <c r="Q6" s="1">
        <v>0</v>
      </c>
      <c r="R6" s="1">
        <v>0</v>
      </c>
      <c r="S6" s="2">
        <v>1.79</v>
      </c>
      <c r="T6" s="2">
        <v>1.79</v>
      </c>
      <c r="U6" s="2">
        <v>1.79</v>
      </c>
      <c r="V6" s="2">
        <v>0.7</v>
      </c>
      <c r="W6" s="2">
        <f t="shared" ref="W6:X6" si="1">V6</f>
        <v>0.7</v>
      </c>
      <c r="X6" s="2">
        <f t="shared" si="1"/>
        <v>0.7</v>
      </c>
      <c r="Y6">
        <v>0.7</v>
      </c>
      <c r="Z6">
        <v>0.7</v>
      </c>
      <c r="AA6">
        <v>0.7</v>
      </c>
      <c r="AB6" s="1" t="s">
        <v>24</v>
      </c>
    </row>
    <row r="7" spans="1:29" x14ac:dyDescent="0.2">
      <c r="A7" s="1" t="s">
        <v>30</v>
      </c>
      <c r="B7" s="1" t="s">
        <v>23</v>
      </c>
      <c r="C7" s="1" t="s">
        <v>24</v>
      </c>
      <c r="D7" s="1" t="s">
        <v>25</v>
      </c>
      <c r="E7" s="1" t="s">
        <v>42</v>
      </c>
      <c r="F7" t="s">
        <v>34</v>
      </c>
      <c r="G7" s="4">
        <v>3</v>
      </c>
      <c r="H7" s="4">
        <v>10</v>
      </c>
      <c r="I7" s="3">
        <v>0.03</v>
      </c>
      <c r="J7" s="3">
        <v>0.03</v>
      </c>
      <c r="K7" s="1" t="s">
        <v>6</v>
      </c>
      <c r="L7" s="1" t="s">
        <v>35</v>
      </c>
      <c r="M7" s="1">
        <v>2.37</v>
      </c>
      <c r="N7" s="1">
        <v>1.08</v>
      </c>
      <c r="O7" s="1">
        <v>3.65</v>
      </c>
      <c r="P7" s="1">
        <v>1000000</v>
      </c>
      <c r="Q7" s="1">
        <v>1000000</v>
      </c>
      <c r="R7" s="1">
        <v>1000000</v>
      </c>
      <c r="S7" s="2">
        <v>1.79</v>
      </c>
      <c r="T7" s="2">
        <v>1.79</v>
      </c>
      <c r="U7" s="2">
        <v>1.79</v>
      </c>
      <c r="V7" s="2">
        <v>0.7</v>
      </c>
      <c r="W7" s="2">
        <f t="shared" ref="W7:X7" si="2">V7</f>
        <v>0.7</v>
      </c>
      <c r="X7" s="2">
        <f t="shared" si="2"/>
        <v>0.7</v>
      </c>
      <c r="Y7">
        <v>0.7</v>
      </c>
      <c r="Z7">
        <v>0.7</v>
      </c>
      <c r="AA7">
        <v>0.7</v>
      </c>
      <c r="AB7" s="1" t="s">
        <v>24</v>
      </c>
    </row>
    <row r="8" spans="1:29" ht="18" customHeight="1" x14ac:dyDescent="0.2">
      <c r="A8" s="1" t="s">
        <v>31</v>
      </c>
      <c r="B8" t="s">
        <v>23</v>
      </c>
      <c r="C8" t="s">
        <v>24</v>
      </c>
      <c r="D8" s="1" t="s">
        <v>19</v>
      </c>
      <c r="E8" s="1" t="s">
        <v>40</v>
      </c>
      <c r="F8" t="s">
        <v>33</v>
      </c>
      <c r="G8">
        <v>3</v>
      </c>
      <c r="H8" s="4">
        <v>10</v>
      </c>
      <c r="I8" s="3">
        <v>0.03</v>
      </c>
      <c r="J8" s="3">
        <v>0.03</v>
      </c>
      <c r="K8" s="1" t="s">
        <v>6</v>
      </c>
      <c r="L8" s="1" t="s">
        <v>35</v>
      </c>
      <c r="M8" s="1">
        <v>2.37</v>
      </c>
      <c r="N8" s="1">
        <v>1.08</v>
      </c>
      <c r="O8" s="1">
        <v>3.65</v>
      </c>
      <c r="P8">
        <v>0</v>
      </c>
      <c r="Q8">
        <v>0</v>
      </c>
      <c r="R8">
        <v>0</v>
      </c>
      <c r="S8" s="2">
        <v>1.79</v>
      </c>
      <c r="T8" s="2">
        <v>1.79</v>
      </c>
      <c r="U8" s="2">
        <v>1.79</v>
      </c>
      <c r="V8" s="2">
        <v>0.7</v>
      </c>
      <c r="W8" s="2">
        <f t="shared" ref="W8:X8" si="3">V8</f>
        <v>0.7</v>
      </c>
      <c r="X8" s="2">
        <f t="shared" si="3"/>
        <v>0.7</v>
      </c>
      <c r="Y8">
        <v>0.7</v>
      </c>
      <c r="Z8">
        <v>0.7</v>
      </c>
      <c r="AA8">
        <v>0.7</v>
      </c>
      <c r="AB8" s="1" t="s">
        <v>24</v>
      </c>
      <c r="AC8"/>
    </row>
    <row r="9" spans="1:29" ht="18" customHeight="1" x14ac:dyDescent="0.2">
      <c r="A9" s="1" t="s">
        <v>31</v>
      </c>
      <c r="B9" t="s">
        <v>23</v>
      </c>
      <c r="C9" t="s">
        <v>24</v>
      </c>
      <c r="D9" s="1" t="s">
        <v>41</v>
      </c>
      <c r="E9" s="1" t="s">
        <v>41</v>
      </c>
      <c r="F9" t="s">
        <v>34</v>
      </c>
      <c r="G9">
        <v>0</v>
      </c>
      <c r="H9" s="4">
        <v>10</v>
      </c>
      <c r="I9" s="3">
        <v>0.03</v>
      </c>
      <c r="J9" s="3">
        <v>0.03</v>
      </c>
      <c r="K9" s="1" t="s">
        <v>6</v>
      </c>
      <c r="L9" s="1" t="s">
        <v>35</v>
      </c>
      <c r="M9" s="1">
        <v>2.37</v>
      </c>
      <c r="N9" s="1">
        <v>1.08</v>
      </c>
      <c r="O9" s="1">
        <v>3.65</v>
      </c>
      <c r="P9">
        <v>0</v>
      </c>
      <c r="Q9">
        <v>0</v>
      </c>
      <c r="R9">
        <v>0</v>
      </c>
      <c r="S9" s="2">
        <v>1.79</v>
      </c>
      <c r="T9" s="2">
        <v>1.79</v>
      </c>
      <c r="U9" s="2">
        <v>1.79</v>
      </c>
      <c r="V9" s="2">
        <v>0.7</v>
      </c>
      <c r="W9" s="2">
        <f t="shared" ref="W9:X9" si="4">V9</f>
        <v>0.7</v>
      </c>
      <c r="X9" s="2">
        <f t="shared" si="4"/>
        <v>0.7</v>
      </c>
      <c r="Y9">
        <v>0.7</v>
      </c>
      <c r="Z9">
        <v>0.7</v>
      </c>
      <c r="AA9">
        <v>0.7</v>
      </c>
      <c r="AB9" s="1" t="s">
        <v>24</v>
      </c>
      <c r="AC9"/>
    </row>
    <row r="10" spans="1:29" x14ac:dyDescent="0.2">
      <c r="A10" s="1" t="s">
        <v>31</v>
      </c>
      <c r="B10" t="s">
        <v>23</v>
      </c>
      <c r="C10" t="s">
        <v>24</v>
      </c>
      <c r="D10" s="1" t="s">
        <v>25</v>
      </c>
      <c r="E10" s="1" t="s">
        <v>42</v>
      </c>
      <c r="F10" t="s">
        <v>34</v>
      </c>
      <c r="G10">
        <v>3</v>
      </c>
      <c r="H10" s="4">
        <v>10</v>
      </c>
      <c r="I10" s="3">
        <v>0.03</v>
      </c>
      <c r="J10" s="3">
        <v>0.03</v>
      </c>
      <c r="K10" s="1" t="s">
        <v>6</v>
      </c>
      <c r="L10" s="1" t="s">
        <v>35</v>
      </c>
      <c r="M10" s="1">
        <v>2.37</v>
      </c>
      <c r="N10" s="1">
        <v>1.08</v>
      </c>
      <c r="O10" s="1">
        <v>3.65</v>
      </c>
      <c r="P10" s="8">
        <v>1000000</v>
      </c>
      <c r="Q10" s="8">
        <v>0</v>
      </c>
      <c r="R10" s="8">
        <v>5000000</v>
      </c>
      <c r="S10" s="2">
        <v>1.79</v>
      </c>
      <c r="T10" s="2">
        <v>1.79</v>
      </c>
      <c r="U10" s="2">
        <v>1.79</v>
      </c>
      <c r="V10" s="2">
        <v>0.7</v>
      </c>
      <c r="W10" s="2">
        <f t="shared" ref="W10:X10" si="5">V10</f>
        <v>0.7</v>
      </c>
      <c r="X10" s="2">
        <f t="shared" si="5"/>
        <v>0.7</v>
      </c>
      <c r="Y10">
        <v>0.7</v>
      </c>
      <c r="Z10">
        <v>0.7</v>
      </c>
      <c r="AA10">
        <v>0.7</v>
      </c>
      <c r="AB10" s="1" t="s">
        <v>24</v>
      </c>
    </row>
    <row r="11" spans="1:29" ht="18" customHeight="1" x14ac:dyDescent="0.2">
      <c r="A11" s="1" t="s">
        <v>37</v>
      </c>
      <c r="B11" s="1" t="s">
        <v>23</v>
      </c>
      <c r="C11" s="1" t="s">
        <v>24</v>
      </c>
      <c r="D11" s="1" t="s">
        <v>19</v>
      </c>
      <c r="E11" s="1" t="s">
        <v>40</v>
      </c>
      <c r="F11" t="s">
        <v>33</v>
      </c>
      <c r="G11" s="6">
        <v>3</v>
      </c>
      <c r="H11" s="4">
        <v>10</v>
      </c>
      <c r="I11" s="3">
        <v>0.03</v>
      </c>
      <c r="J11" s="3">
        <v>0.03</v>
      </c>
      <c r="K11" t="s">
        <v>36</v>
      </c>
      <c r="L11" s="1" t="s">
        <v>35</v>
      </c>
      <c r="M11" s="1">
        <v>2.37</v>
      </c>
      <c r="N11" s="1">
        <v>1.08</v>
      </c>
      <c r="O11" s="1">
        <v>3.65</v>
      </c>
      <c r="P11" s="1">
        <v>0</v>
      </c>
      <c r="Q11">
        <v>0</v>
      </c>
      <c r="R11">
        <v>0</v>
      </c>
      <c r="S11" s="2">
        <v>1.79</v>
      </c>
      <c r="T11" s="2">
        <v>1.79</v>
      </c>
      <c r="U11" s="2">
        <v>1.79</v>
      </c>
      <c r="V11" s="7">
        <v>0.7</v>
      </c>
      <c r="W11" s="7">
        <v>0.5</v>
      </c>
      <c r="X11" s="7">
        <v>4.5</v>
      </c>
      <c r="Y11">
        <v>0.7</v>
      </c>
      <c r="Z11">
        <v>0.7</v>
      </c>
      <c r="AA11">
        <v>0.7</v>
      </c>
      <c r="AB11" s="1" t="s">
        <v>24</v>
      </c>
      <c r="AC11"/>
    </row>
    <row r="12" spans="1:29" ht="18" customHeight="1" x14ac:dyDescent="0.2">
      <c r="A12" s="1" t="s">
        <v>37</v>
      </c>
      <c r="B12" s="1" t="s">
        <v>23</v>
      </c>
      <c r="C12" s="1" t="s">
        <v>24</v>
      </c>
      <c r="D12" s="1" t="s">
        <v>41</v>
      </c>
      <c r="E12" s="1" t="s">
        <v>41</v>
      </c>
      <c r="F12" t="s">
        <v>34</v>
      </c>
      <c r="G12" s="6">
        <v>0</v>
      </c>
      <c r="H12" s="4">
        <v>10</v>
      </c>
      <c r="I12" s="3">
        <v>0.03</v>
      </c>
      <c r="J12" s="3">
        <v>0.03</v>
      </c>
      <c r="K12" t="s">
        <v>36</v>
      </c>
      <c r="L12" s="1" t="s">
        <v>35</v>
      </c>
      <c r="M12" s="1">
        <v>2.37</v>
      </c>
      <c r="N12" s="1">
        <v>1.08</v>
      </c>
      <c r="O12" s="1">
        <v>3.65</v>
      </c>
      <c r="P12" s="1">
        <v>0</v>
      </c>
      <c r="Q12" s="5">
        <v>0</v>
      </c>
      <c r="R12" s="5">
        <v>0</v>
      </c>
      <c r="S12" s="2">
        <v>1.79</v>
      </c>
      <c r="T12" s="2">
        <v>1.79</v>
      </c>
      <c r="U12" s="2">
        <v>1.79</v>
      </c>
      <c r="V12" s="7">
        <v>0.7</v>
      </c>
      <c r="W12" s="7">
        <v>0.5</v>
      </c>
      <c r="X12" s="7">
        <v>4.5</v>
      </c>
      <c r="Y12">
        <v>0.7</v>
      </c>
      <c r="Z12">
        <v>0.7</v>
      </c>
      <c r="AA12">
        <v>0.7</v>
      </c>
      <c r="AB12" s="1" t="s">
        <v>24</v>
      </c>
      <c r="AC12"/>
    </row>
    <row r="13" spans="1:29" x14ac:dyDescent="0.2">
      <c r="A13" s="1" t="s">
        <v>37</v>
      </c>
      <c r="B13" s="1" t="s">
        <v>23</v>
      </c>
      <c r="C13" s="1" t="s">
        <v>24</v>
      </c>
      <c r="D13" s="1" t="s">
        <v>25</v>
      </c>
      <c r="E13" s="1" t="s">
        <v>42</v>
      </c>
      <c r="F13" t="s">
        <v>34</v>
      </c>
      <c r="G13" s="6">
        <v>3</v>
      </c>
      <c r="H13" s="4">
        <v>10</v>
      </c>
      <c r="I13" s="3">
        <v>0.03</v>
      </c>
      <c r="J13" s="3">
        <v>0.03</v>
      </c>
      <c r="K13" t="s">
        <v>36</v>
      </c>
      <c r="L13" s="1" t="s">
        <v>35</v>
      </c>
      <c r="M13" s="1">
        <v>2.37</v>
      </c>
      <c r="N13" s="1">
        <v>1.08</v>
      </c>
      <c r="O13" s="1">
        <v>3.65</v>
      </c>
      <c r="P13" s="1">
        <v>1000000</v>
      </c>
      <c r="Q13" s="1">
        <v>1000000</v>
      </c>
      <c r="R13" s="1">
        <v>1000000</v>
      </c>
      <c r="S13" s="2">
        <v>1.79</v>
      </c>
      <c r="T13" s="2">
        <v>1.79</v>
      </c>
      <c r="U13" s="2">
        <v>1.79</v>
      </c>
      <c r="V13" s="7">
        <v>0.7</v>
      </c>
      <c r="W13" s="7">
        <v>0.5</v>
      </c>
      <c r="X13" s="7">
        <v>4.5</v>
      </c>
      <c r="Y13">
        <v>0.7</v>
      </c>
      <c r="Z13">
        <v>0.7</v>
      </c>
      <c r="AA13">
        <v>0.7</v>
      </c>
      <c r="AB13" s="1" t="s">
        <v>24</v>
      </c>
    </row>
    <row r="14" spans="1:29" ht="18" customHeight="1" x14ac:dyDescent="0.2">
      <c r="A14" s="1" t="s">
        <v>38</v>
      </c>
      <c r="B14" s="1" t="s">
        <v>23</v>
      </c>
      <c r="C14" s="1" t="s">
        <v>24</v>
      </c>
      <c r="D14" s="1" t="s">
        <v>19</v>
      </c>
      <c r="E14" s="1" t="s">
        <v>40</v>
      </c>
      <c r="F14" t="s">
        <v>33</v>
      </c>
      <c r="G14" s="4">
        <v>3</v>
      </c>
      <c r="H14" s="4">
        <v>10</v>
      </c>
      <c r="I14" s="3">
        <v>0.03</v>
      </c>
      <c r="J14" s="3">
        <v>0.03</v>
      </c>
      <c r="K14" t="s">
        <v>36</v>
      </c>
      <c r="L14" s="1" t="s">
        <v>35</v>
      </c>
      <c r="M14" s="1">
        <v>2.37</v>
      </c>
      <c r="N14" s="1">
        <v>1.08</v>
      </c>
      <c r="O14" s="1">
        <v>3.65</v>
      </c>
      <c r="P14" s="1">
        <v>0</v>
      </c>
      <c r="Q14" s="1">
        <v>0</v>
      </c>
      <c r="R14" s="1">
        <v>0</v>
      </c>
      <c r="S14" s="2">
        <v>1.79</v>
      </c>
      <c r="T14" s="2">
        <v>1.79</v>
      </c>
      <c r="U14" s="2">
        <v>1.79</v>
      </c>
      <c r="V14" s="2">
        <v>0.7</v>
      </c>
      <c r="W14" s="2">
        <f>V14</f>
        <v>0.7</v>
      </c>
      <c r="X14" s="2">
        <f t="shared" ref="X14" si="6">W14</f>
        <v>0.7</v>
      </c>
      <c r="Y14">
        <v>0.7</v>
      </c>
      <c r="Z14">
        <v>0.7</v>
      </c>
      <c r="AA14">
        <v>0.7</v>
      </c>
      <c r="AB14" s="1" t="s">
        <v>24</v>
      </c>
    </row>
    <row r="15" spans="1:29" ht="18" customHeight="1" x14ac:dyDescent="0.2">
      <c r="A15" s="1" t="s">
        <v>38</v>
      </c>
      <c r="B15" s="1" t="s">
        <v>23</v>
      </c>
      <c r="C15" s="1" t="s">
        <v>24</v>
      </c>
      <c r="D15" s="1" t="s">
        <v>41</v>
      </c>
      <c r="E15" s="1" t="s">
        <v>41</v>
      </c>
      <c r="F15" t="s">
        <v>34</v>
      </c>
      <c r="G15" s="4">
        <v>0</v>
      </c>
      <c r="H15" s="4">
        <v>10</v>
      </c>
      <c r="I15" s="3">
        <v>0.03</v>
      </c>
      <c r="J15" s="3">
        <v>0.03</v>
      </c>
      <c r="K15" t="s">
        <v>36</v>
      </c>
      <c r="L15" s="1" t="s">
        <v>35</v>
      </c>
      <c r="M15" s="1">
        <v>2.37</v>
      </c>
      <c r="N15" s="1">
        <v>1.08</v>
      </c>
      <c r="O15" s="1">
        <v>3.65</v>
      </c>
      <c r="P15" s="1">
        <v>0</v>
      </c>
      <c r="Q15" s="1">
        <v>0</v>
      </c>
      <c r="R15" s="1">
        <v>0</v>
      </c>
      <c r="S15" s="2">
        <v>1.79</v>
      </c>
      <c r="T15" s="2">
        <v>1.79</v>
      </c>
      <c r="U15" s="2">
        <v>1.79</v>
      </c>
      <c r="V15" s="2">
        <v>0.7</v>
      </c>
      <c r="W15" s="2">
        <f t="shared" ref="W15:X15" si="7">V15</f>
        <v>0.7</v>
      </c>
      <c r="X15" s="2">
        <f t="shared" si="7"/>
        <v>0.7</v>
      </c>
      <c r="Y15">
        <v>0.7</v>
      </c>
      <c r="Z15">
        <v>0.7</v>
      </c>
      <c r="AA15">
        <v>0.7</v>
      </c>
      <c r="AB15" s="1" t="s">
        <v>24</v>
      </c>
    </row>
    <row r="16" spans="1:29" x14ac:dyDescent="0.2">
      <c r="A16" s="1" t="s">
        <v>38</v>
      </c>
      <c r="B16" s="1" t="s">
        <v>23</v>
      </c>
      <c r="C16" s="1" t="s">
        <v>24</v>
      </c>
      <c r="D16" s="1" t="s">
        <v>25</v>
      </c>
      <c r="E16" s="1" t="s">
        <v>42</v>
      </c>
      <c r="F16" t="s">
        <v>34</v>
      </c>
      <c r="G16" s="4">
        <v>3</v>
      </c>
      <c r="H16" s="4">
        <v>10</v>
      </c>
      <c r="I16" s="3">
        <v>0.03</v>
      </c>
      <c r="J16" s="3">
        <v>0.03</v>
      </c>
      <c r="K16" t="s">
        <v>36</v>
      </c>
      <c r="L16" s="1" t="s">
        <v>35</v>
      </c>
      <c r="M16" s="1">
        <v>2.37</v>
      </c>
      <c r="N16" s="1">
        <v>1.08</v>
      </c>
      <c r="O16" s="1">
        <v>3.65</v>
      </c>
      <c r="P16" s="1">
        <v>1000000</v>
      </c>
      <c r="Q16" s="1">
        <v>1000000</v>
      </c>
      <c r="R16" s="1">
        <v>1000000</v>
      </c>
      <c r="S16" s="2">
        <v>1.79</v>
      </c>
      <c r="T16" s="2">
        <v>1.79</v>
      </c>
      <c r="U16" s="2">
        <v>1.79</v>
      </c>
      <c r="V16" s="2">
        <v>0.7</v>
      </c>
      <c r="W16" s="2">
        <f t="shared" ref="W16:X16" si="8">V16</f>
        <v>0.7</v>
      </c>
      <c r="X16" s="2">
        <f t="shared" si="8"/>
        <v>0.7</v>
      </c>
      <c r="Y16">
        <v>0.7</v>
      </c>
      <c r="Z16">
        <v>0.7</v>
      </c>
      <c r="AA16">
        <v>0.7</v>
      </c>
      <c r="AB16" s="1" t="s">
        <v>24</v>
      </c>
    </row>
    <row r="17" spans="1:29" ht="18" customHeight="1" x14ac:dyDescent="0.2">
      <c r="A17" s="1" t="s">
        <v>39</v>
      </c>
      <c r="B17" t="s">
        <v>23</v>
      </c>
      <c r="C17" t="s">
        <v>24</v>
      </c>
      <c r="D17" s="1" t="s">
        <v>19</v>
      </c>
      <c r="E17" s="1" t="s">
        <v>40</v>
      </c>
      <c r="F17" t="s">
        <v>33</v>
      </c>
      <c r="G17">
        <v>3</v>
      </c>
      <c r="H17" s="4">
        <v>10</v>
      </c>
      <c r="I17" s="3">
        <v>0.03</v>
      </c>
      <c r="J17" s="3">
        <v>0.03</v>
      </c>
      <c r="K17" t="s">
        <v>36</v>
      </c>
      <c r="L17" s="1" t="s">
        <v>35</v>
      </c>
      <c r="M17" s="1">
        <v>2.37</v>
      </c>
      <c r="N17" s="1">
        <v>1.08</v>
      </c>
      <c r="O17" s="1">
        <v>3.65</v>
      </c>
      <c r="P17">
        <v>0</v>
      </c>
      <c r="Q17">
        <v>0</v>
      </c>
      <c r="R17">
        <v>0</v>
      </c>
      <c r="S17" s="2">
        <v>1.79</v>
      </c>
      <c r="T17" s="2">
        <v>1.79</v>
      </c>
      <c r="U17" s="2">
        <v>1.79</v>
      </c>
      <c r="V17" s="2">
        <v>0.7</v>
      </c>
      <c r="W17" s="2">
        <f t="shared" ref="W17:X17" si="9">V17</f>
        <v>0.7</v>
      </c>
      <c r="X17" s="2">
        <f t="shared" si="9"/>
        <v>0.7</v>
      </c>
      <c r="Y17">
        <v>0.7</v>
      </c>
      <c r="Z17">
        <v>0.7</v>
      </c>
      <c r="AA17">
        <v>0.7</v>
      </c>
      <c r="AB17" s="1" t="s">
        <v>24</v>
      </c>
      <c r="AC17"/>
    </row>
    <row r="18" spans="1:29" ht="18" customHeight="1" x14ac:dyDescent="0.2">
      <c r="A18" s="1" t="s">
        <v>39</v>
      </c>
      <c r="B18" t="s">
        <v>23</v>
      </c>
      <c r="C18" t="s">
        <v>24</v>
      </c>
      <c r="D18" s="1" t="s">
        <v>41</v>
      </c>
      <c r="E18" s="1" t="s">
        <v>41</v>
      </c>
      <c r="F18" t="s">
        <v>34</v>
      </c>
      <c r="G18">
        <v>0</v>
      </c>
      <c r="H18" s="4">
        <v>10</v>
      </c>
      <c r="I18" s="3">
        <v>0.03</v>
      </c>
      <c r="J18" s="3">
        <v>0.03</v>
      </c>
      <c r="K18" t="s">
        <v>36</v>
      </c>
      <c r="L18" s="1" t="s">
        <v>35</v>
      </c>
      <c r="M18" s="1">
        <v>2.37</v>
      </c>
      <c r="N18" s="1">
        <v>1.08</v>
      </c>
      <c r="O18" s="1">
        <v>3.65</v>
      </c>
      <c r="P18">
        <v>0</v>
      </c>
      <c r="Q18">
        <v>0</v>
      </c>
      <c r="R18">
        <v>0</v>
      </c>
      <c r="S18" s="2">
        <v>1.79</v>
      </c>
      <c r="T18" s="2">
        <v>1.79</v>
      </c>
      <c r="U18" s="2">
        <v>1.79</v>
      </c>
      <c r="V18" s="2">
        <v>0.7</v>
      </c>
      <c r="W18" s="2">
        <f t="shared" ref="W18:X18" si="10">V18</f>
        <v>0.7</v>
      </c>
      <c r="X18" s="2">
        <f t="shared" si="10"/>
        <v>0.7</v>
      </c>
      <c r="Y18">
        <v>0.7</v>
      </c>
      <c r="Z18">
        <v>0.7</v>
      </c>
      <c r="AA18">
        <v>0.7</v>
      </c>
      <c r="AB18" s="1" t="s">
        <v>24</v>
      </c>
      <c r="AC18"/>
    </row>
    <row r="19" spans="1:29" x14ac:dyDescent="0.2">
      <c r="A19" s="1" t="s">
        <v>39</v>
      </c>
      <c r="B19" t="s">
        <v>23</v>
      </c>
      <c r="C19" t="s">
        <v>24</v>
      </c>
      <c r="D19" s="1" t="s">
        <v>25</v>
      </c>
      <c r="E19" s="1" t="s">
        <v>42</v>
      </c>
      <c r="F19" t="s">
        <v>34</v>
      </c>
      <c r="G19">
        <v>3</v>
      </c>
      <c r="H19" s="4">
        <v>10</v>
      </c>
      <c r="I19" s="3">
        <v>0.03</v>
      </c>
      <c r="J19" s="3">
        <v>0.03</v>
      </c>
      <c r="K19" t="s">
        <v>36</v>
      </c>
      <c r="L19" s="1" t="s">
        <v>35</v>
      </c>
      <c r="M19" s="1">
        <v>2.37</v>
      </c>
      <c r="N19" s="1">
        <v>1.08</v>
      </c>
      <c r="O19" s="1">
        <v>3.65</v>
      </c>
      <c r="P19" s="8">
        <v>1000000</v>
      </c>
      <c r="Q19" s="8">
        <v>0</v>
      </c>
      <c r="R19" s="8">
        <v>5000000</v>
      </c>
      <c r="S19" s="2">
        <v>1.79</v>
      </c>
      <c r="T19" s="2">
        <v>1.79</v>
      </c>
      <c r="U19" s="2">
        <v>1.79</v>
      </c>
      <c r="V19" s="2">
        <v>0.7</v>
      </c>
      <c r="W19" s="2">
        <f t="shared" ref="W19:X19" si="11">V19</f>
        <v>0.7</v>
      </c>
      <c r="X19" s="2">
        <f t="shared" si="11"/>
        <v>0.7</v>
      </c>
      <c r="Y19">
        <v>0.7</v>
      </c>
      <c r="Z19">
        <v>0.7</v>
      </c>
      <c r="AA19">
        <v>0.7</v>
      </c>
      <c r="AB19" s="1" t="s">
        <v>24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2026-06-30T19:58:52Z</dcterms:modified>
</cp:coreProperties>
</file>