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A3F9D111-B17F-964A-ADDB-C8F31F18487B}" xr6:coauthVersionLast="47" xr6:coauthVersionMax="47" xr10:uidLastSave="{00000000-0000-0000-0000-000000000000}"/>
  <bookViews>
    <workbookView xWindow="30800" yWindow="20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3" i="1" l="1"/>
  <c r="X3" i="1" s="1"/>
  <c r="W4" i="1"/>
  <c r="X4" i="1" s="1"/>
  <c r="W5" i="1"/>
  <c r="X5" i="1" s="1"/>
  <c r="W6" i="1"/>
  <c r="X6" i="1" s="1"/>
  <c r="W7" i="1"/>
  <c r="X7" i="1" s="1"/>
  <c r="W8" i="1"/>
  <c r="X8" i="1"/>
  <c r="W9" i="1"/>
  <c r="X9" i="1"/>
  <c r="W10" i="1"/>
  <c r="X10" i="1"/>
  <c r="W11" i="1"/>
  <c r="X11" i="1"/>
  <c r="W2" i="1"/>
  <c r="X2" i="1" s="1"/>
</calcChain>
</file>

<file path=xl/sharedStrings.xml><?xml version="1.0" encoding="utf-8"?>
<sst xmlns="http://schemas.openxmlformats.org/spreadsheetml/2006/main" count="118" uniqueCount="44">
  <si>
    <t>scenario</t>
  </si>
  <si>
    <t>population_code</t>
  </si>
  <si>
    <t>country</t>
  </si>
  <si>
    <t>disc_rate_effect</t>
  </si>
  <si>
    <t>disc_rate_cost</t>
  </si>
  <si>
    <t>perspective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</si>
  <si>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</si>
  <si>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</si>
  <si>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</si>
  <si>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</si>
  <si>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</si>
  <si>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</si>
  <si>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</si>
  <si>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</si>
  <si>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</si>
  <si>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No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</si>
  <si>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</si>
  <si>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</si>
  <si>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</si>
  <si>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</si>
  <si>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</si>
  <si>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</si>
  <si>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</si>
  <si>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Rotavac_price_mean</t>
  </si>
  <si>
    <t>Rotavac_price_LCI</t>
  </si>
  <si>
    <t>Rotavac_price_UCI</t>
  </si>
  <si>
    <t>Rotavac</t>
  </si>
  <si>
    <t>RV3BB</t>
  </si>
  <si>
    <t>HCP</t>
  </si>
  <si>
    <t>Societal</t>
  </si>
  <si>
    <t>RV3BB_min</t>
  </si>
  <si>
    <t>RV3BB_mean</t>
  </si>
  <si>
    <t>RV3BB_max</t>
  </si>
  <si>
    <t>baseline</t>
  </si>
  <si>
    <t>Baseline</t>
  </si>
  <si>
    <t>comparator</t>
  </si>
  <si>
    <t>SuspVacc</t>
  </si>
  <si>
    <t>Rotavac_6to10to14</t>
  </si>
  <si>
    <t>Rotarix_6to10</t>
  </si>
  <si>
    <t>Rotarix_6to10to14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</si>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</sst>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42" applyNumberFormat="1" applyFont="1"/>
    <xf numFmtId="2" fontId="18" fillId="0" borderId="0" xfId="0" applyNumberFormat="1" applyFont="1"/>
    <xf numFmtId="1" fontId="18" fillId="0" borderId="0" xfId="0" applyNumberFormat="1" applyFont="1"/>
    <xf numFmtId="0" fontId="18" fillId="0" borderId="0" xfId="0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L1" workbookViewId="0">
      <selection activeCell="P10" sqref="P10:R11"/>
    </sheetView>
  </sheetViews>
  <sheetFormatPr baseColWidth="10" defaultRowHeight="16" x14ac:dyDescent="0.2"/>
  <cols>
    <col min="1" max="1" width="19.33203125" style="1" bestFit="1" customWidth="1"/>
    <col min="2" max="4" width="10.83203125" style="1"/>
    <col min="5" max="5" width="25.5" style="1" bestFit="1" customWidth="1"/>
    <col min="6" max="6" width="25.5" style="1" customWidth="1"/>
    <col min="7" max="10" width="10.83203125" style="1"/>
    <col min="11" max="15" width="19.5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7.83203125" style="1" bestFit="1" customWidth="1"/>
    <col min="26" max="26" width="15.33203125" style="1" bestFit="1" customWidth="1"/>
    <col min="27" max="27" width="15.83203125" style="1" bestFit="1" customWidth="1"/>
    <col min="28" max="16384" width="10.83203125" style="1"/>
  </cols>
  <sheetData>
    <row r="1" spans="1:32" x14ac:dyDescent="0.2">
      <c r="A1" s="1" t="s">
        <v>0</v>
      </c>
      <c r="B1" s="1" t="s">
        <v>2</v>
      </c>
      <c r="C1" s="1" t="s">
        <v>6</v>
      </c>
      <c r="D1" s="1" t="s">
        <v>10</v>
      </c>
      <c r="E1" s="1" t="s">
        <v>18</v>
      </c>
      <c r="F1" s="1" t="s">
        <v>33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14</v>
      </c>
      <c r="M1" s="1" t="s">
        <v>41</v>
      </c>
      <c r="N1" s="1" t="s">
        <v>42</v>
      </c>
      <c r="O1" s="1" t="s">
        <v>43</v>
      </c>
      <c r="P1" s="1" t="s">
        <v>20</v>
      </c>
      <c r="Q1" s="1" t="s">
        <v>21</v>
      </c>
      <c r="R1" s="1" t="s">
        <v>22</v>
      </c>
      <c r="S1" s="1" t="s">
        <v>11</v>
      </c>
      <c r="T1" s="1" t="s">
        <v>12</v>
      </c>
      <c r="U1" s="1" t="s">
        <v>13</v>
      </c>
      <c r="V1" s="1" t="s">
        <v>31</v>
      </c>
      <c r="W1" s="1" t="s">
        <v>30</v>
      </c>
      <c r="X1" s="1" t="s">
        <v>32</v>
      </c>
      <c r="Y1" s="1" t="s">
        <v>23</v>
      </c>
      <c r="Z1" s="1" t="s">
        <v>24</v>
      </c>
      <c r="AA1" s="1" t="s">
        <v>25</v>
      </c>
      <c r="AB1" s="1" t="s">
        <v>1</v>
      </c>
    </row>
    <row r="2" spans="1:32" x14ac:dyDescent="0.2">
      <c r="A2" s="1" t="s">
        <v>19</v>
      </c>
      <c r="B2" s="1" t="s">
        <v>8</v>
      </c>
      <c r="C2" s="1" t="s">
        <v>7</v>
      </c>
      <c r="D2" s="1" t="s">
        <v>9</v>
      </c>
      <c r="E2" s="1" t="s">
        <v>38</v>
      </c>
      <c r="F2" s="1" t="s">
        <v>34</v>
      </c>
      <c r="G2" s="5">
        <v>2</v>
      </c>
      <c r="H2" s="1">
        <v>10</v>
      </c>
      <c r="I2" s="2">
        <v>0.03</v>
      </c>
      <c r="J2" s="2">
        <v>0.03</v>
      </c>
      <c r="K2" s="1" t="s">
        <v>28</v>
      </c>
      <c r="L2" s="1" t="s">
        <v>15</v>
      </c>
      <c r="M2" s="1">
        <v>1.74</v>
      </c>
      <c r="N2" s="1">
        <v>0.75</v>
      </c>
      <c r="O2" s="1">
        <v>2.17</v>
      </c>
      <c r="P2" s="4">
        <v>0</v>
      </c>
      <c r="Q2" s="4">
        <v>0</v>
      </c>
      <c r="R2" s="4">
        <v>0</v>
      </c>
      <c r="S2" s="1">
        <v>1.79</v>
      </c>
      <c r="T2" s="1">
        <v>1.79</v>
      </c>
      <c r="U2" s="1">
        <v>1.79</v>
      </c>
      <c r="V2" s="3">
        <v>0.7</v>
      </c>
      <c r="W2" s="3">
        <f>V2</f>
        <v>0.7</v>
      </c>
      <c r="X2" s="3">
        <f>W2</f>
        <v>0.7</v>
      </c>
      <c r="Y2" s="3">
        <v>0.7</v>
      </c>
      <c r="Z2" s="3">
        <v>0.7</v>
      </c>
      <c r="AA2" s="3">
        <v>0.7</v>
      </c>
      <c r="AB2" s="1" t="s">
        <v>7</v>
      </c>
      <c r="AC2"/>
      <c r="AD2"/>
      <c r="AE2"/>
      <c r="AF2"/>
    </row>
    <row r="3" spans="1:32" ht="18" customHeight="1" x14ac:dyDescent="0.2">
      <c r="A3" s="1" t="s">
        <v>19</v>
      </c>
      <c r="B3" s="1" t="s">
        <v>8</v>
      </c>
      <c r="C3" s="1" t="s">
        <v>7</v>
      </c>
      <c r="D3" s="1" t="s">
        <v>36</v>
      </c>
      <c r="E3" s="1" t="s">
        <v>36</v>
      </c>
      <c r="F3" s="1" t="s">
        <v>35</v>
      </c>
      <c r="G3" s="5">
        <v>0</v>
      </c>
      <c r="H3" s="1">
        <v>10</v>
      </c>
      <c r="I3" s="2">
        <v>0.03</v>
      </c>
      <c r="J3" s="2">
        <v>0.03</v>
      </c>
      <c r="K3" s="1" t="s">
        <v>28</v>
      </c>
      <c r="L3" s="1" t="s">
        <v>15</v>
      </c>
      <c r="M3" s="1">
        <v>1.74</v>
      </c>
      <c r="N3" s="1">
        <v>0.75</v>
      </c>
      <c r="O3" s="1">
        <v>2.17</v>
      </c>
      <c r="P3" s="1">
        <v>0</v>
      </c>
      <c r="Q3" s="1">
        <v>0</v>
      </c>
      <c r="R3" s="1">
        <v>0</v>
      </c>
      <c r="S3" s="1">
        <v>1.79</v>
      </c>
      <c r="T3" s="1">
        <v>1.79</v>
      </c>
      <c r="U3" s="1">
        <v>1.79</v>
      </c>
      <c r="V3" s="3">
        <v>0.7</v>
      </c>
      <c r="W3" s="3">
        <f t="shared" ref="W3:X3" si="0">V3</f>
        <v>0.7</v>
      </c>
      <c r="X3" s="3">
        <f t="shared" si="0"/>
        <v>0.7</v>
      </c>
      <c r="Y3" s="3">
        <v>0.7</v>
      </c>
      <c r="Z3" s="3">
        <v>0.7</v>
      </c>
      <c r="AA3" s="3">
        <v>0.7</v>
      </c>
      <c r="AB3" s="1" t="s">
        <v>7</v>
      </c>
      <c r="AC3"/>
      <c r="AD3"/>
      <c r="AE3"/>
      <c r="AF3"/>
    </row>
    <row r="4" spans="1:32" ht="18" customHeight="1" x14ac:dyDescent="0.2">
      <c r="A4" s="1" t="s">
        <v>19</v>
      </c>
      <c r="B4" s="1" t="s">
        <v>8</v>
      </c>
      <c r="C4" s="1" t="s">
        <v>7</v>
      </c>
      <c r="D4" s="1" t="s">
        <v>9</v>
      </c>
      <c r="E4" s="1" t="s">
        <v>39</v>
      </c>
      <c r="F4" s="1" t="s">
        <v>35</v>
      </c>
      <c r="G4" s="5">
        <v>3</v>
      </c>
      <c r="H4" s="1">
        <v>10</v>
      </c>
      <c r="I4" s="2">
        <v>0.03</v>
      </c>
      <c r="J4" s="2">
        <v>0.03</v>
      </c>
      <c r="K4" s="1" t="s">
        <v>28</v>
      </c>
      <c r="L4" s="1" t="s">
        <v>15</v>
      </c>
      <c r="M4" s="1">
        <v>1.74</v>
      </c>
      <c r="N4" s="1">
        <v>0.75</v>
      </c>
      <c r="O4" s="1">
        <v>2.17</v>
      </c>
      <c r="P4" s="1">
        <v>0</v>
      </c>
      <c r="Q4" s="1">
        <v>0</v>
      </c>
      <c r="R4" s="1">
        <v>0</v>
      </c>
      <c r="S4" s="1">
        <v>1.79</v>
      </c>
      <c r="T4" s="1">
        <v>1.79</v>
      </c>
      <c r="U4" s="1">
        <v>1.79</v>
      </c>
      <c r="V4" s="3">
        <v>0.7</v>
      </c>
      <c r="W4" s="3">
        <f t="shared" ref="W4:X4" si="1">V4</f>
        <v>0.7</v>
      </c>
      <c r="X4" s="3">
        <f t="shared" si="1"/>
        <v>0.7</v>
      </c>
      <c r="Y4" s="3">
        <v>0.7</v>
      </c>
      <c r="Z4" s="3">
        <v>0.7</v>
      </c>
      <c r="AA4" s="3">
        <v>0.7</v>
      </c>
      <c r="AB4" t="s">
        <v>7</v>
      </c>
      <c r="AC4"/>
    </row>
    <row r="5" spans="1:32" x14ac:dyDescent="0.2">
      <c r="A5" s="1" t="s">
        <v>19</v>
      </c>
      <c r="B5" s="1" t="s">
        <v>8</v>
      </c>
      <c r="C5" s="1" t="s">
        <v>7</v>
      </c>
      <c r="D5" s="1" t="s">
        <v>26</v>
      </c>
      <c r="E5" s="1" t="s">
        <v>37</v>
      </c>
      <c r="F5" s="1" t="s">
        <v>35</v>
      </c>
      <c r="G5" s="5">
        <v>3</v>
      </c>
      <c r="H5" s="1">
        <v>10</v>
      </c>
      <c r="I5" s="2">
        <v>0.03</v>
      </c>
      <c r="J5" s="2">
        <v>0.03</v>
      </c>
      <c r="K5" s="1" t="s">
        <v>28</v>
      </c>
      <c r="L5" s="1" t="s">
        <v>15</v>
      </c>
      <c r="M5" s="1">
        <v>1.74</v>
      </c>
      <c r="N5" s="1">
        <v>0.75</v>
      </c>
      <c r="O5" s="1">
        <v>2.17</v>
      </c>
      <c r="P5" s="4">
        <v>1000000</v>
      </c>
      <c r="Q5" s="4">
        <v>1000000</v>
      </c>
      <c r="R5" s="4">
        <v>1000000</v>
      </c>
      <c r="S5" s="1">
        <v>1.79</v>
      </c>
      <c r="T5" s="1">
        <v>1.79</v>
      </c>
      <c r="U5" s="1">
        <v>1.79</v>
      </c>
      <c r="V5" s="3">
        <v>0.7</v>
      </c>
      <c r="W5" s="3">
        <f t="shared" ref="W5:X5" si="2">V5</f>
        <v>0.7</v>
      </c>
      <c r="X5" s="3">
        <f t="shared" si="2"/>
        <v>0.7</v>
      </c>
      <c r="Y5" s="3">
        <v>0.7</v>
      </c>
      <c r="Z5" s="3">
        <v>0.7</v>
      </c>
      <c r="AA5" s="3">
        <v>0.7</v>
      </c>
      <c r="AB5" t="s">
        <v>7</v>
      </c>
    </row>
    <row r="6" spans="1:32" x14ac:dyDescent="0.2">
      <c r="A6" s="1" t="s">
        <v>19</v>
      </c>
      <c r="B6" s="1" t="s">
        <v>8</v>
      </c>
      <c r="C6" s="1" t="s">
        <v>7</v>
      </c>
      <c r="D6" s="1" t="s">
        <v>27</v>
      </c>
      <c r="E6" s="1" t="s">
        <v>40</v>
      </c>
      <c r="F6" s="1" t="s">
        <v>35</v>
      </c>
      <c r="G6" s="5">
        <v>3</v>
      </c>
      <c r="H6" s="1">
        <v>10</v>
      </c>
      <c r="I6" s="2">
        <v>0.03</v>
      </c>
      <c r="J6" s="2">
        <v>0.03</v>
      </c>
      <c r="K6" s="1" t="s">
        <v>28</v>
      </c>
      <c r="L6" s="1" t="s">
        <v>15</v>
      </c>
      <c r="M6" s="1">
        <v>1.74</v>
      </c>
      <c r="N6" s="1">
        <v>0.75</v>
      </c>
      <c r="O6" s="1">
        <v>2.17</v>
      </c>
      <c r="P6" s="4">
        <v>1000000</v>
      </c>
      <c r="Q6" s="4">
        <v>1000000</v>
      </c>
      <c r="R6" s="4">
        <v>1000000</v>
      </c>
      <c r="S6" s="1">
        <v>1.79</v>
      </c>
      <c r="T6" s="1">
        <v>1.79</v>
      </c>
      <c r="U6" s="1">
        <v>1.79</v>
      </c>
      <c r="V6" s="3">
        <v>0.7</v>
      </c>
      <c r="W6" s="3">
        <f t="shared" ref="W6:X6" si="3">V6</f>
        <v>0.7</v>
      </c>
      <c r="X6" s="3">
        <f t="shared" si="3"/>
        <v>0.7</v>
      </c>
      <c r="Y6" s="3">
        <v>0.7</v>
      </c>
      <c r="Z6" s="3">
        <v>0.7</v>
      </c>
      <c r="AA6" s="3">
        <v>0.7</v>
      </c>
      <c r="AB6" s="1" t="s">
        <v>7</v>
      </c>
    </row>
    <row r="7" spans="1:32" x14ac:dyDescent="0.2">
      <c r="A7" s="1" t="s">
        <v>29</v>
      </c>
      <c r="B7" s="1" t="s">
        <v>8</v>
      </c>
      <c r="C7" s="1" t="s">
        <v>7</v>
      </c>
      <c r="D7" s="1" t="s">
        <v>9</v>
      </c>
      <c r="E7" s="1" t="s">
        <v>38</v>
      </c>
      <c r="F7" s="1" t="s">
        <v>34</v>
      </c>
      <c r="G7" s="5">
        <v>2</v>
      </c>
      <c r="H7" s="1">
        <v>10</v>
      </c>
      <c r="I7" s="2">
        <v>0.03</v>
      </c>
      <c r="J7" s="2">
        <v>0.03</v>
      </c>
      <c r="K7" s="1" t="s">
        <v>29</v>
      </c>
      <c r="L7" s="1" t="s">
        <v>15</v>
      </c>
      <c r="M7" s="1">
        <v>1.74</v>
      </c>
      <c r="N7" s="1">
        <v>0.75</v>
      </c>
      <c r="O7" s="1">
        <v>2.17</v>
      </c>
      <c r="P7" s="4">
        <v>0</v>
      </c>
      <c r="Q7" s="4">
        <v>0</v>
      </c>
      <c r="R7" s="4">
        <v>0</v>
      </c>
      <c r="S7" s="1">
        <v>1.79</v>
      </c>
      <c r="T7" s="1">
        <v>1.79</v>
      </c>
      <c r="U7" s="1">
        <v>1.79</v>
      </c>
      <c r="V7" s="3">
        <v>0.7</v>
      </c>
      <c r="W7" s="3">
        <f t="shared" ref="W7:X7" si="4">V7</f>
        <v>0.7</v>
      </c>
      <c r="X7" s="3">
        <f t="shared" si="4"/>
        <v>0.7</v>
      </c>
      <c r="Y7" s="3">
        <v>0.7</v>
      </c>
      <c r="Z7" s="3">
        <v>0.7</v>
      </c>
      <c r="AA7" s="3">
        <v>0.7</v>
      </c>
      <c r="AB7" s="1" t="s">
        <v>7</v>
      </c>
      <c r="AC7"/>
      <c r="AD7"/>
      <c r="AE7"/>
      <c r="AF7"/>
    </row>
    <row r="8" spans="1:32" ht="18" customHeight="1" x14ac:dyDescent="0.2">
      <c r="A8" s="1" t="s">
        <v>29</v>
      </c>
      <c r="B8" s="1" t="s">
        <v>8</v>
      </c>
      <c r="C8" s="1" t="s">
        <v>7</v>
      </c>
      <c r="D8" s="1" t="s">
        <v>36</v>
      </c>
      <c r="E8" s="1" t="s">
        <v>36</v>
      </c>
      <c r="F8" s="1" t="s">
        <v>35</v>
      </c>
      <c r="G8" s="5">
        <v>0</v>
      </c>
      <c r="H8" s="1">
        <v>10</v>
      </c>
      <c r="I8" s="2">
        <v>0.03</v>
      </c>
      <c r="J8" s="2">
        <v>0.03</v>
      </c>
      <c r="K8" s="1" t="s">
        <v>29</v>
      </c>
      <c r="L8" s="1" t="s">
        <v>15</v>
      </c>
      <c r="M8" s="1">
        <v>1.74</v>
      </c>
      <c r="N8" s="1">
        <v>0.75</v>
      </c>
      <c r="O8" s="1">
        <v>2.17</v>
      </c>
      <c r="P8" s="1">
        <v>0</v>
      </c>
      <c r="Q8" s="1">
        <v>0</v>
      </c>
      <c r="R8" s="1">
        <v>0</v>
      </c>
      <c r="S8" s="1">
        <v>1.79</v>
      </c>
      <c r="T8" s="1">
        <v>1.79</v>
      </c>
      <c r="U8" s="1">
        <v>1.79</v>
      </c>
      <c r="V8" s="3">
        <v>0.7</v>
      </c>
      <c r="W8" s="3">
        <f t="shared" ref="W8:X8" si="5">V8</f>
        <v>0.7</v>
      </c>
      <c r="X8" s="3">
        <f t="shared" si="5"/>
        <v>0.7</v>
      </c>
      <c r="Y8" s="3">
        <v>0.7</v>
      </c>
      <c r="Z8" s="3">
        <v>0.7</v>
      </c>
      <c r="AA8" s="3">
        <v>0.7</v>
      </c>
      <c r="AB8" s="1" t="s">
        <v>7</v>
      </c>
      <c r="AC8"/>
      <c r="AD8"/>
      <c r="AE8"/>
      <c r="AF8"/>
    </row>
    <row r="9" spans="1:32" ht="18" customHeight="1" x14ac:dyDescent="0.2">
      <c r="A9" s="1" t="s">
        <v>29</v>
      </c>
      <c r="B9" s="1" t="s">
        <v>8</v>
      </c>
      <c r="C9" s="1" t="s">
        <v>7</v>
      </c>
      <c r="D9" s="1" t="s">
        <v>9</v>
      </c>
      <c r="E9" s="1" t="s">
        <v>39</v>
      </c>
      <c r="F9" s="1" t="s">
        <v>35</v>
      </c>
      <c r="G9" s="5">
        <v>3</v>
      </c>
      <c r="H9" s="1">
        <v>10</v>
      </c>
      <c r="I9" s="2">
        <v>0.03</v>
      </c>
      <c r="J9" s="2">
        <v>0.03</v>
      </c>
      <c r="K9" s="1" t="s">
        <v>29</v>
      </c>
      <c r="L9" s="1" t="s">
        <v>15</v>
      </c>
      <c r="M9" s="1">
        <v>1.74</v>
      </c>
      <c r="N9" s="1">
        <v>0.75</v>
      </c>
      <c r="O9" s="1">
        <v>2.17</v>
      </c>
      <c r="P9" s="1">
        <v>0</v>
      </c>
      <c r="Q9" s="1">
        <v>0</v>
      </c>
      <c r="R9" s="1">
        <v>0</v>
      </c>
      <c r="S9" s="1">
        <v>1.79</v>
      </c>
      <c r="T9" s="1">
        <v>1.79</v>
      </c>
      <c r="U9" s="1">
        <v>1.79</v>
      </c>
      <c r="V9" s="3">
        <v>0.7</v>
      </c>
      <c r="W9" s="3">
        <f t="shared" ref="W9:X9" si="6">V9</f>
        <v>0.7</v>
      </c>
      <c r="X9" s="3">
        <f t="shared" si="6"/>
        <v>0.7</v>
      </c>
      <c r="Y9" s="3">
        <v>0.7</v>
      </c>
      <c r="Z9" s="3">
        <v>0.7</v>
      </c>
      <c r="AA9" s="3">
        <v>0.7</v>
      </c>
      <c r="AB9" t="s">
        <v>7</v>
      </c>
      <c r="AC9"/>
    </row>
    <row r="10" spans="1:32" x14ac:dyDescent="0.2">
      <c r="A10" s="1" t="s">
        <v>29</v>
      </c>
      <c r="B10" s="1" t="s">
        <v>8</v>
      </c>
      <c r="C10" s="1" t="s">
        <v>7</v>
      </c>
      <c r="D10" s="1" t="s">
        <v>26</v>
      </c>
      <c r="E10" s="1" t="s">
        <v>37</v>
      </c>
      <c r="F10" s="1" t="s">
        <v>35</v>
      </c>
      <c r="G10" s="5">
        <v>3</v>
      </c>
      <c r="H10" s="1">
        <v>10</v>
      </c>
      <c r="I10" s="2">
        <v>0.03</v>
      </c>
      <c r="J10" s="2">
        <v>0.03</v>
      </c>
      <c r="K10" s="1" t="s">
        <v>29</v>
      </c>
      <c r="L10" s="1" t="s">
        <v>15</v>
      </c>
      <c r="M10" s="1">
        <v>1.74</v>
      </c>
      <c r="N10" s="1">
        <v>0.75</v>
      </c>
      <c r="O10" s="1">
        <v>2.17</v>
      </c>
      <c r="P10" s="4">
        <v>1000000</v>
      </c>
      <c r="Q10" s="4">
        <v>1000000</v>
      </c>
      <c r="R10" s="4">
        <v>1000000</v>
      </c>
      <c r="S10" s="1">
        <v>1.79</v>
      </c>
      <c r="T10" s="1">
        <v>1.79</v>
      </c>
      <c r="U10" s="1">
        <v>1.79</v>
      </c>
      <c r="V10" s="3">
        <v>0.7</v>
      </c>
      <c r="W10" s="3">
        <f t="shared" ref="W10:X10" si="7">V10</f>
        <v>0.7</v>
      </c>
      <c r="X10" s="3">
        <f t="shared" si="7"/>
        <v>0.7</v>
      </c>
      <c r="Y10" s="3">
        <v>0.7</v>
      </c>
      <c r="Z10" s="3">
        <v>0.7</v>
      </c>
      <c r="AA10" s="3">
        <v>0.7</v>
      </c>
      <c r="AB10" t="s">
        <v>7</v>
      </c>
    </row>
    <row r="11" spans="1:32" x14ac:dyDescent="0.2">
      <c r="A11" s="1" t="s">
        <v>29</v>
      </c>
      <c r="B11" s="1" t="s">
        <v>8</v>
      </c>
      <c r="C11" s="1" t="s">
        <v>7</v>
      </c>
      <c r="D11" s="1" t="s">
        <v>27</v>
      </c>
      <c r="E11" s="1" t="s">
        <v>40</v>
      </c>
      <c r="F11" s="1" t="s">
        <v>35</v>
      </c>
      <c r="G11" s="5">
        <v>3</v>
      </c>
      <c r="H11" s="1">
        <v>10</v>
      </c>
      <c r="I11" s="2">
        <v>0.03</v>
      </c>
      <c r="J11" s="2">
        <v>0.03</v>
      </c>
      <c r="K11" s="1" t="s">
        <v>29</v>
      </c>
      <c r="L11" s="1" t="s">
        <v>15</v>
      </c>
      <c r="M11" s="1">
        <v>1.74</v>
      </c>
      <c r="N11" s="1">
        <v>0.75</v>
      </c>
      <c r="O11" s="1">
        <v>2.17</v>
      </c>
      <c r="P11" s="4">
        <v>1000000</v>
      </c>
      <c r="Q11" s="4">
        <v>1000000</v>
      </c>
      <c r="R11" s="4">
        <v>1000000</v>
      </c>
      <c r="S11" s="1">
        <v>1.79</v>
      </c>
      <c r="T11" s="1">
        <v>1.79</v>
      </c>
      <c r="U11" s="1">
        <v>1.79</v>
      </c>
      <c r="V11" s="3">
        <v>0.7</v>
      </c>
      <c r="W11" s="3">
        <f t="shared" ref="W11:X11" si="8">V11</f>
        <v>0.7</v>
      </c>
      <c r="X11" s="3">
        <f t="shared" si="8"/>
        <v>0.7</v>
      </c>
      <c r="Y11" s="3">
        <v>0.7</v>
      </c>
      <c r="Z11" s="3">
        <v>0.7</v>
      </c>
      <c r="AA11" s="3">
        <v>0.7</v>
      </c>
      <c r="AB11" s="1" t="s">
        <v>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2026-06-30T19:55:10Z</dcterms:modified>
</cp:coreProperties>
</file>