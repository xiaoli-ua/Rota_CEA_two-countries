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aoli/Documents/Rota(Yale)/CEA_Rcodes/Rota_CEA_Malawi/config/"/>
    </mc:Choice>
  </mc:AlternateContent>
  <xr:revisionPtr revIDLastSave="0" documentId="13_ncr:1_{4C73F909-AAD1-8E48-8A1E-B306782B1C4D}" xr6:coauthVersionLast="47" xr6:coauthVersionMax="47" xr10:uidLastSave="{00000000-0000-0000-0000-000000000000}"/>
  <bookViews>
    <workbookView xWindow="0" yWindow="0" windowWidth="28800" windowHeight="16720" xr2:uid="{00000000-000D-0000-FFFF-FFFF00000000}"/>
  </bookViews>
  <sheets>
    <sheet name="scenarios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W23" i="1" l="1"/>
  <c r="X23" i="1" s="1"/>
  <c r="W24" i="1"/>
  <c r="X24" i="1" s="1"/>
  <c r="W25" i="1"/>
  <c r="X25" i="1" s="1"/>
  <c r="W26" i="1"/>
  <c r="X26" i="1" s="1"/>
  <c r="W27" i="1"/>
  <c r="X27" i="1" s="1"/>
  <c r="W28" i="1"/>
  <c r="X28" i="1" s="1"/>
  <c r="W29" i="1"/>
  <c r="X29" i="1" s="1"/>
  <c r="W30" i="1"/>
  <c r="X30" i="1" s="1"/>
  <c r="W31" i="1"/>
  <c r="X31" i="1"/>
  <c r="W22" i="1"/>
  <c r="X22" i="1" s="1"/>
  <c r="W8" i="1"/>
  <c r="X8" i="1" s="1"/>
  <c r="W9" i="1"/>
  <c r="X9" i="1"/>
  <c r="W10" i="1"/>
  <c r="X10" i="1" s="1"/>
  <c r="W11" i="1"/>
  <c r="X11" i="1"/>
  <c r="W12" i="1"/>
  <c r="X12" i="1" s="1"/>
  <c r="W13" i="1"/>
  <c r="X13" i="1" s="1"/>
  <c r="W14" i="1"/>
  <c r="X14" i="1"/>
  <c r="W15" i="1"/>
  <c r="X15" i="1"/>
  <c r="W16" i="1"/>
  <c r="X16" i="1" s="1"/>
  <c r="W7" i="1"/>
  <c r="X7" i="1" s="1"/>
</calcChain>
</file>

<file path=xl/sharedStrings.xml><?xml version="1.0" encoding="utf-8"?>
<sst xmlns="http://schemas.openxmlformats.org/spreadsheetml/2006/main" count="298" uniqueCount="49">
  <si>
    <t>scenario</t>
  </si>
  <si>
    <t>population_code</t>
  </si>
  <si>
    <t>country</t>
  </si>
  <si>
    <t>disc_rate_effect</t>
  </si>
  <si>
    <t>disc_rate_cost</t>
  </si>
  <si>
    <t>perspective</t>
  </si>
  <si>
    <t>HCP</t>
  </si>
  <si>
    <t>ISO3</t>
  </si>
  <si>
    <t>MWI</t>
  </si>
  <si>
    <t>Malawi</t>
  </si>
  <si>
    <t>Rotarix</t>
  </si>
  <si>
    <t>Product</t>
  </si>
  <si>
    <t>Rotarix_price_mean</t>
  </si>
  <si>
    <t>Rotarix_price_LCI</t>
  </si>
  <si>
    <t>Rotarix_price_UCI</t>
  </si>
  <si>
    <t>PriceSA</t>
  </si>
  <si>
    <t>nrb_dose</t>
  </si>
  <si>
    <t>model_horizon</t>
  </si>
  <si>
    <t>schedule</t>
  </si>
  <si>
    <t>implementation_cost_newVac_mean</t>
  </si>
  <si>
    <t>implementation_cost_newVac_min</t>
  </si>
  <si>
    <t>implementation_cost_newVac_max</t>
  </si>
  <si>
    <t>Rotavac</t>
  </si>
  <si>
    <t>Rotavac_price_mean</t>
  </si>
  <si>
    <t>Rotavac_price_LCI</t>
  </si>
  <si>
    <t>Rotavac_price_UCI</t>
  </si>
  <si>
    <t>RV3BB</t>
  </si>
  <si>
    <t>RV3BB_mean</t>
  </si>
  <si>
    <t>RV3BB_min</t>
  </si>
  <si>
    <t>RV3BB_max</t>
  </si>
  <si>
    <t>baseline</t>
  </si>
  <si>
    <t>Baseline</t>
  </si>
  <si>
    <t>comparator</t>
  </si>
  <si>
    <t>OnewayPrice</t>
  </si>
  <si>
    <t>OnewayDoP</t>
  </si>
  <si>
    <t>OnewaySwitchCost</t>
  </si>
  <si>
    <t>oneWay</t>
  </si>
  <si>
    <t>Societal</t>
  </si>
  <si>
    <t>OnewayPrice_Societal</t>
  </si>
  <si>
    <t>OnewayDoP_Societal</t>
  </si>
  <si>
    <t>OnewaySwitchCost_Societal</t>
  </si>
  <si>
    <t>Rotarix_6to10</t>
  </si>
  <si>
    <t>SuspVacc</t>
  </si>
  <si>
    <t>Rotarix_6to10to14</t>
  </si>
  <si>
    <t>Rotavac_6to10to14</t>
  </si>
  <si>
    <t>RV3BB_1to6to10</t>
  </si>
  <si>
    <t>delivery_cost_mean</t>
  </si>
  <si>
    <t>delivery_cost_min</t>
  </si>
  <si>
    <t>delivery_cost_max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</si>
</sst>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#,##0_ ;\-#,##0\ 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18" fillId="0" borderId="0" xfId="0" applyFont="1"/>
    <xf numFmtId="2" fontId="18" fillId="0" borderId="0" xfId="0" applyNumberFormat="1" applyFont="1"/>
    <xf numFmtId="43" fontId="18" fillId="0" borderId="0" xfId="42" applyFont="1"/>
    <xf numFmtId="164" fontId="18" fillId="0" borderId="0" xfId="42" applyNumberFormat="1" applyFont="1"/>
    <xf numFmtId="164" fontId="0" fillId="0" borderId="0" xfId="42" applyNumberFormat="1" applyFont="1"/>
    <xf numFmtId="165" fontId="18" fillId="0" borderId="0" xfId="42" applyNumberFormat="1" applyFont="1" applyAlignment="1">
      <alignment horizontal="right"/>
    </xf>
    <xf numFmtId="1" fontId="18" fillId="0" borderId="0" xfId="0" applyNumberFormat="1" applyFont="1"/>
    <xf numFmtId="2" fontId="18" fillId="33" borderId="0" xfId="0" applyNumberFormat="1" applyFont="1" applyFill="1"/>
    <xf numFmtId="2" fontId="0" fillId="33" borderId="0" xfId="0" applyNumberFormat="1" applyFill="1"/>
    <xf numFmtId="0" fontId="18" fillId="33" borderId="0" xfId="0" applyFont="1" applyFill="1"/>
    <xf numFmtId="1" fontId="18" fillId="33" borderId="0" xfId="0" applyNumberFormat="1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4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1"/>
  <sheetViews>
    <sheetView tabSelected="1" workbookViewId="0">
      <pane xSplit="1" ySplit="1" topLeftCell="I2" activePane="bottomRight" state="frozen"/>
      <selection pane="topRight" activeCell="B1" sqref="B1"/>
      <selection pane="bottomLeft" activeCell="A2" sqref="A2"/>
      <selection pane="bottomRight" activeCell="Q15" sqref="Q15:R16"/>
    </sheetView>
  </sheetViews>
  <sheetFormatPr baseColWidth="10" defaultRowHeight="16" x14ac:dyDescent="0.2"/>
  <cols>
    <col min="1" max="1" width="25.6640625" style="1" bestFit="1" customWidth="1"/>
    <col min="2" max="4" width="10.83203125" style="1"/>
    <col min="5" max="5" width="20.33203125" style="1" bestFit="1" customWidth="1"/>
    <col min="6" max="6" width="20.33203125" style="1" customWidth="1"/>
    <col min="7" max="10" width="10.83203125" style="1"/>
    <col min="11" max="15" width="19.5" customWidth="1"/>
    <col min="16" max="16" width="18.83203125" style="1" bestFit="1" customWidth="1"/>
    <col min="17" max="19" width="18.83203125" style="1" customWidth="1"/>
    <col min="20" max="20" width="23.5" style="1" customWidth="1"/>
    <col min="21" max="21" width="23" style="1" bestFit="1" customWidth="1"/>
    <col min="22" max="22" width="19" style="1" bestFit="1" customWidth="1"/>
    <col min="23" max="23" width="16.1640625" style="1" customWidth="1"/>
    <col min="24" max="16384" width="10.83203125" style="1"/>
  </cols>
  <sheetData>
    <row r="1" spans="1:29" x14ac:dyDescent="0.2">
      <c r="A1" s="1" t="s">
        <v>0</v>
      </c>
      <c r="B1" s="1" t="s">
        <v>2</v>
      </c>
      <c r="C1" s="1" t="s">
        <v>7</v>
      </c>
      <c r="D1" s="1" t="s">
        <v>11</v>
      </c>
      <c r="E1" s="1" t="s">
        <v>18</v>
      </c>
      <c r="F1" s="1" t="s">
        <v>30</v>
      </c>
      <c r="G1" s="1" t="s">
        <v>16</v>
      </c>
      <c r="H1" s="1" t="s">
        <v>17</v>
      </c>
      <c r="I1" t="s">
        <v>4</v>
      </c>
      <c r="J1" t="s">
        <v>3</v>
      </c>
      <c r="K1" s="1" t="s">
        <v>5</v>
      </c>
      <c r="L1" s="1" t="s">
        <v>15</v>
      </c>
      <c r="M1" s="1" t="s">
        <v>46</v>
      </c>
      <c r="N1" s="1" t="s">
        <v>47</v>
      </c>
      <c r="O1" s="1" t="s">
        <v>48</v>
      </c>
      <c r="P1" s="1" t="s">
        <v>19</v>
      </c>
      <c r="Q1" s="1" t="s">
        <v>20</v>
      </c>
      <c r="R1" s="1" t="s">
        <v>21</v>
      </c>
      <c r="S1" s="1" t="s">
        <v>12</v>
      </c>
      <c r="T1" s="1" t="s">
        <v>13</v>
      </c>
      <c r="U1" s="1" t="s">
        <v>14</v>
      </c>
      <c r="V1" s="1" t="s">
        <v>27</v>
      </c>
      <c r="W1" s="1" t="s">
        <v>28</v>
      </c>
      <c r="X1" s="1" t="s">
        <v>29</v>
      </c>
      <c r="Y1" t="s">
        <v>23</v>
      </c>
      <c r="Z1" t="s">
        <v>24</v>
      </c>
      <c r="AA1" t="s">
        <v>25</v>
      </c>
      <c r="AB1" s="1" t="s">
        <v>1</v>
      </c>
    </row>
    <row r="2" spans="1:29" x14ac:dyDescent="0.2">
      <c r="A2" t="s">
        <v>33</v>
      </c>
      <c r="B2" s="1" t="s">
        <v>9</v>
      </c>
      <c r="C2" s="1" t="s">
        <v>8</v>
      </c>
      <c r="D2" s="1" t="s">
        <v>10</v>
      </c>
      <c r="E2" s="1" t="s">
        <v>41</v>
      </c>
      <c r="F2" s="1" t="s">
        <v>31</v>
      </c>
      <c r="G2" s="6">
        <v>2</v>
      </c>
      <c r="H2" s="4">
        <v>10</v>
      </c>
      <c r="I2" s="3">
        <v>0.03</v>
      </c>
      <c r="J2" s="3">
        <v>0.03</v>
      </c>
      <c r="K2" s="1" t="s">
        <v>6</v>
      </c>
      <c r="L2" s="1" t="s">
        <v>36</v>
      </c>
      <c r="M2" s="1">
        <v>1.74</v>
      </c>
      <c r="N2" s="1">
        <v>0.75</v>
      </c>
      <c r="O2" s="1">
        <v>2.17</v>
      </c>
      <c r="P2" s="1">
        <v>0</v>
      </c>
      <c r="Q2" s="1">
        <v>0</v>
      </c>
      <c r="R2" s="1">
        <v>0</v>
      </c>
      <c r="S2" s="2">
        <v>1.79</v>
      </c>
      <c r="T2" s="2">
        <v>1.79</v>
      </c>
      <c r="U2" s="2">
        <v>1.79</v>
      </c>
      <c r="V2" s="8">
        <v>0.7</v>
      </c>
      <c r="W2" s="8">
        <v>0.5</v>
      </c>
      <c r="X2" s="8">
        <v>4.5</v>
      </c>
      <c r="Y2">
        <v>0.7</v>
      </c>
      <c r="Z2">
        <v>0.7</v>
      </c>
      <c r="AA2">
        <v>0.7</v>
      </c>
      <c r="AB2" s="1" t="s">
        <v>8</v>
      </c>
      <c r="AC2"/>
    </row>
    <row r="3" spans="1:29" ht="18" customHeight="1" x14ac:dyDescent="0.2">
      <c r="A3" t="s">
        <v>33</v>
      </c>
      <c r="B3" s="1" t="s">
        <v>9</v>
      </c>
      <c r="C3" s="1" t="s">
        <v>8</v>
      </c>
      <c r="D3" s="1" t="s">
        <v>42</v>
      </c>
      <c r="E3" s="1" t="s">
        <v>42</v>
      </c>
      <c r="F3" s="1" t="s">
        <v>32</v>
      </c>
      <c r="G3" s="6">
        <v>0</v>
      </c>
      <c r="H3" s="4">
        <v>10</v>
      </c>
      <c r="I3" s="3">
        <v>0.03</v>
      </c>
      <c r="J3" s="3">
        <v>0.03</v>
      </c>
      <c r="K3" s="1" t="s">
        <v>6</v>
      </c>
      <c r="L3" s="1" t="s">
        <v>36</v>
      </c>
      <c r="M3" s="1">
        <v>1.74</v>
      </c>
      <c r="N3" s="1">
        <v>0.75</v>
      </c>
      <c r="O3" s="1">
        <v>2.17</v>
      </c>
      <c r="P3" s="1">
        <v>0</v>
      </c>
      <c r="Q3" s="1">
        <v>0</v>
      </c>
      <c r="R3" s="1">
        <v>0</v>
      </c>
      <c r="S3" s="2">
        <v>1.79</v>
      </c>
      <c r="T3" s="2">
        <v>1.79</v>
      </c>
      <c r="U3" s="2">
        <v>1.79</v>
      </c>
      <c r="V3" s="8">
        <v>0.7</v>
      </c>
      <c r="W3" s="8">
        <v>0.5</v>
      </c>
      <c r="X3" s="8">
        <v>4.5</v>
      </c>
      <c r="Y3">
        <v>0.7</v>
      </c>
      <c r="Z3">
        <v>0.7</v>
      </c>
      <c r="AA3">
        <v>0.7</v>
      </c>
      <c r="AB3" s="1" t="s">
        <v>8</v>
      </c>
      <c r="AC3"/>
    </row>
    <row r="4" spans="1:29" ht="18" customHeight="1" x14ac:dyDescent="0.2">
      <c r="A4" t="s">
        <v>33</v>
      </c>
      <c r="B4" s="1" t="s">
        <v>9</v>
      </c>
      <c r="C4" s="1" t="s">
        <v>8</v>
      </c>
      <c r="D4" s="1" t="s">
        <v>10</v>
      </c>
      <c r="E4" s="1" t="s">
        <v>43</v>
      </c>
      <c r="F4" s="1" t="s">
        <v>32</v>
      </c>
      <c r="G4" s="6">
        <v>3</v>
      </c>
      <c r="H4" s="4">
        <v>10</v>
      </c>
      <c r="I4" s="3">
        <v>0.03</v>
      </c>
      <c r="J4" s="3">
        <v>0.03</v>
      </c>
      <c r="K4" s="1" t="s">
        <v>6</v>
      </c>
      <c r="L4" s="1" t="s">
        <v>36</v>
      </c>
      <c r="M4" s="1">
        <v>1.74</v>
      </c>
      <c r="N4" s="1">
        <v>0.75</v>
      </c>
      <c r="O4" s="1">
        <v>2.17</v>
      </c>
      <c r="P4" s="1">
        <v>0</v>
      </c>
      <c r="Q4" s="1">
        <v>0</v>
      </c>
      <c r="R4" s="1">
        <v>0</v>
      </c>
      <c r="S4" s="2">
        <v>1.79</v>
      </c>
      <c r="T4" s="2">
        <v>1.79</v>
      </c>
      <c r="U4" s="2">
        <v>1.79</v>
      </c>
      <c r="V4" s="8">
        <v>0.7</v>
      </c>
      <c r="W4" s="8">
        <v>0.5</v>
      </c>
      <c r="X4" s="8">
        <v>4.5</v>
      </c>
      <c r="Y4">
        <v>0.7</v>
      </c>
      <c r="Z4">
        <v>0.7</v>
      </c>
      <c r="AA4">
        <v>0.7</v>
      </c>
      <c r="AB4" s="1" t="s">
        <v>8</v>
      </c>
      <c r="AC4"/>
    </row>
    <row r="5" spans="1:29" x14ac:dyDescent="0.2">
      <c r="A5" t="s">
        <v>33</v>
      </c>
      <c r="B5" t="s">
        <v>9</v>
      </c>
      <c r="C5" t="s">
        <v>8</v>
      </c>
      <c r="D5" s="1" t="s">
        <v>22</v>
      </c>
      <c r="E5" s="1" t="s">
        <v>44</v>
      </c>
      <c r="F5" s="1" t="s">
        <v>32</v>
      </c>
      <c r="G5" s="6">
        <v>3</v>
      </c>
      <c r="H5" s="5">
        <v>10</v>
      </c>
      <c r="I5" s="3">
        <v>0.03</v>
      </c>
      <c r="J5" s="3">
        <v>0.03</v>
      </c>
      <c r="K5" t="s">
        <v>6</v>
      </c>
      <c r="L5" s="1" t="s">
        <v>36</v>
      </c>
      <c r="M5" s="1">
        <v>1.74</v>
      </c>
      <c r="N5" s="1">
        <v>0.75</v>
      </c>
      <c r="O5" s="1">
        <v>2.17</v>
      </c>
      <c r="P5" s="1">
        <v>1000000</v>
      </c>
      <c r="Q5" s="1">
        <v>1000000</v>
      </c>
      <c r="R5" s="1">
        <v>1000000</v>
      </c>
      <c r="S5" s="2">
        <v>1.79</v>
      </c>
      <c r="T5" s="2">
        <v>1.79</v>
      </c>
      <c r="U5" s="2">
        <v>1.79</v>
      </c>
      <c r="V5" s="8">
        <v>0.7</v>
      </c>
      <c r="W5" s="9">
        <v>0.5</v>
      </c>
      <c r="X5" s="8">
        <v>4.5</v>
      </c>
      <c r="Y5">
        <v>0.7</v>
      </c>
      <c r="Z5">
        <v>0.7</v>
      </c>
      <c r="AA5">
        <v>0.7</v>
      </c>
      <c r="AB5" t="s">
        <v>8</v>
      </c>
    </row>
    <row r="6" spans="1:29" x14ac:dyDescent="0.2">
      <c r="A6" t="s">
        <v>33</v>
      </c>
      <c r="B6" s="1" t="s">
        <v>9</v>
      </c>
      <c r="C6" s="1" t="s">
        <v>8</v>
      </c>
      <c r="D6" s="1" t="s">
        <v>26</v>
      </c>
      <c r="E6" s="1" t="s">
        <v>45</v>
      </c>
      <c r="F6" s="1" t="s">
        <v>32</v>
      </c>
      <c r="G6" s="6">
        <v>3</v>
      </c>
      <c r="H6" s="4">
        <v>10</v>
      </c>
      <c r="I6" s="3">
        <v>0.03</v>
      </c>
      <c r="J6" s="3">
        <v>0.03</v>
      </c>
      <c r="K6" s="1" t="s">
        <v>6</v>
      </c>
      <c r="L6" s="1" t="s">
        <v>36</v>
      </c>
      <c r="M6" s="1">
        <v>1.74</v>
      </c>
      <c r="N6" s="1">
        <v>0.75</v>
      </c>
      <c r="O6" s="1">
        <v>2.17</v>
      </c>
      <c r="P6" s="1">
        <v>1000000</v>
      </c>
      <c r="Q6" s="1">
        <v>1000000</v>
      </c>
      <c r="R6" s="1">
        <v>1000000</v>
      </c>
      <c r="S6" s="2">
        <v>1.79</v>
      </c>
      <c r="T6" s="2">
        <v>1.79</v>
      </c>
      <c r="U6" s="2">
        <v>1.79</v>
      </c>
      <c r="V6" s="8">
        <v>0.7</v>
      </c>
      <c r="W6" s="8">
        <v>0.5</v>
      </c>
      <c r="X6" s="8">
        <v>4.5</v>
      </c>
      <c r="Y6">
        <v>0.7</v>
      </c>
      <c r="Z6">
        <v>0.7</v>
      </c>
      <c r="AA6">
        <v>0.7</v>
      </c>
      <c r="AB6" s="1" t="s">
        <v>8</v>
      </c>
    </row>
    <row r="7" spans="1:29" x14ac:dyDescent="0.2">
      <c r="A7" t="s">
        <v>34</v>
      </c>
      <c r="B7" s="1" t="s">
        <v>9</v>
      </c>
      <c r="C7" s="1" t="s">
        <v>8</v>
      </c>
      <c r="D7" s="1" t="s">
        <v>10</v>
      </c>
      <c r="E7" s="1" t="s">
        <v>41</v>
      </c>
      <c r="F7" s="1" t="s">
        <v>31</v>
      </c>
      <c r="G7" s="4">
        <v>2</v>
      </c>
      <c r="H7" s="4">
        <v>10</v>
      </c>
      <c r="I7" s="3">
        <v>0.03</v>
      </c>
      <c r="J7" s="3">
        <v>0.03</v>
      </c>
      <c r="K7" s="1" t="s">
        <v>6</v>
      </c>
      <c r="L7" s="1" t="s">
        <v>36</v>
      </c>
      <c r="M7" s="1">
        <v>1.74</v>
      </c>
      <c r="N7" s="1">
        <v>0.75</v>
      </c>
      <c r="O7" s="1">
        <v>2.17</v>
      </c>
      <c r="P7" s="1">
        <v>0</v>
      </c>
      <c r="Q7" s="1">
        <v>0</v>
      </c>
      <c r="R7" s="1">
        <v>0</v>
      </c>
      <c r="S7" s="2">
        <v>1.79</v>
      </c>
      <c r="T7" s="2">
        <v>1.79</v>
      </c>
      <c r="U7" s="2">
        <v>1.79</v>
      </c>
      <c r="V7" s="2">
        <v>0.7</v>
      </c>
      <c r="W7" s="2">
        <f>V7</f>
        <v>0.7</v>
      </c>
      <c r="X7" s="2">
        <f t="shared" ref="X7" si="0">W7</f>
        <v>0.7</v>
      </c>
      <c r="Y7">
        <v>0.7</v>
      </c>
      <c r="Z7">
        <v>0.7</v>
      </c>
      <c r="AA7">
        <v>0.7</v>
      </c>
      <c r="AB7" s="1" t="s">
        <v>8</v>
      </c>
    </row>
    <row r="8" spans="1:29" ht="18" customHeight="1" x14ac:dyDescent="0.2">
      <c r="A8" t="s">
        <v>34</v>
      </c>
      <c r="B8" s="1" t="s">
        <v>9</v>
      </c>
      <c r="C8" s="1" t="s">
        <v>8</v>
      </c>
      <c r="D8" s="1" t="s">
        <v>42</v>
      </c>
      <c r="E8" s="1" t="s">
        <v>42</v>
      </c>
      <c r="F8" s="1" t="s">
        <v>32</v>
      </c>
      <c r="G8" s="4">
        <v>0</v>
      </c>
      <c r="H8" s="4">
        <v>10</v>
      </c>
      <c r="I8" s="3">
        <v>0.03</v>
      </c>
      <c r="J8" s="3">
        <v>0.03</v>
      </c>
      <c r="K8" s="1" t="s">
        <v>6</v>
      </c>
      <c r="L8" s="1" t="s">
        <v>36</v>
      </c>
      <c r="M8" s="1">
        <v>1.74</v>
      </c>
      <c r="N8" s="1">
        <v>0.75</v>
      </c>
      <c r="O8" s="1">
        <v>2.17</v>
      </c>
      <c r="P8" s="1">
        <v>0</v>
      </c>
      <c r="Q8" s="1">
        <v>0</v>
      </c>
      <c r="R8" s="1">
        <v>0</v>
      </c>
      <c r="S8" s="2">
        <v>1.79</v>
      </c>
      <c r="T8" s="2">
        <v>1.79</v>
      </c>
      <c r="U8" s="2">
        <v>1.79</v>
      </c>
      <c r="V8" s="2">
        <v>0.7</v>
      </c>
      <c r="W8" s="2">
        <f t="shared" ref="W8:X8" si="1">V8</f>
        <v>0.7</v>
      </c>
      <c r="X8" s="2">
        <f t="shared" si="1"/>
        <v>0.7</v>
      </c>
      <c r="Y8">
        <v>0.7</v>
      </c>
      <c r="Z8">
        <v>0.7</v>
      </c>
      <c r="AA8">
        <v>0.7</v>
      </c>
      <c r="AB8" s="1" t="s">
        <v>8</v>
      </c>
    </row>
    <row r="9" spans="1:29" ht="18" customHeight="1" x14ac:dyDescent="0.2">
      <c r="A9" t="s">
        <v>34</v>
      </c>
      <c r="B9" s="1" t="s">
        <v>9</v>
      </c>
      <c r="C9" s="1" t="s">
        <v>8</v>
      </c>
      <c r="D9" s="1" t="s">
        <v>10</v>
      </c>
      <c r="E9" s="1" t="s">
        <v>43</v>
      </c>
      <c r="F9" s="1" t="s">
        <v>32</v>
      </c>
      <c r="G9" s="4">
        <v>3</v>
      </c>
      <c r="H9" s="4">
        <v>10</v>
      </c>
      <c r="I9" s="3">
        <v>0.03</v>
      </c>
      <c r="J9" s="3">
        <v>0.03</v>
      </c>
      <c r="K9" s="1" t="s">
        <v>6</v>
      </c>
      <c r="L9" s="1" t="s">
        <v>36</v>
      </c>
      <c r="M9" s="1">
        <v>1.74</v>
      </c>
      <c r="N9" s="1">
        <v>0.75</v>
      </c>
      <c r="O9" s="1">
        <v>2.17</v>
      </c>
      <c r="P9" s="1">
        <v>0</v>
      </c>
      <c r="Q9" s="1">
        <v>0</v>
      </c>
      <c r="R9" s="1">
        <v>0</v>
      </c>
      <c r="S9" s="2">
        <v>1.79</v>
      </c>
      <c r="T9" s="2">
        <v>1.79</v>
      </c>
      <c r="U9" s="2">
        <v>1.79</v>
      </c>
      <c r="V9" s="2">
        <v>0.7</v>
      </c>
      <c r="W9" s="2">
        <f t="shared" ref="W9:X9" si="2">V9</f>
        <v>0.7</v>
      </c>
      <c r="X9" s="2">
        <f t="shared" si="2"/>
        <v>0.7</v>
      </c>
      <c r="Y9">
        <v>0.7</v>
      </c>
      <c r="Z9">
        <v>0.7</v>
      </c>
      <c r="AA9">
        <v>0.7</v>
      </c>
      <c r="AB9" s="1" t="s">
        <v>8</v>
      </c>
    </row>
    <row r="10" spans="1:29" x14ac:dyDescent="0.2">
      <c r="A10" t="s">
        <v>34</v>
      </c>
      <c r="B10" t="s">
        <v>9</v>
      </c>
      <c r="C10" t="s">
        <v>8</v>
      </c>
      <c r="D10" s="1" t="s">
        <v>22</v>
      </c>
      <c r="E10" s="1" t="s">
        <v>44</v>
      </c>
      <c r="F10" s="1" t="s">
        <v>32</v>
      </c>
      <c r="G10" s="5">
        <v>3</v>
      </c>
      <c r="H10" s="5">
        <v>10</v>
      </c>
      <c r="I10" s="3">
        <v>0.03</v>
      </c>
      <c r="J10" s="3">
        <v>0.03</v>
      </c>
      <c r="K10" t="s">
        <v>6</v>
      </c>
      <c r="L10" s="1" t="s">
        <v>36</v>
      </c>
      <c r="M10" s="1">
        <v>1.74</v>
      </c>
      <c r="N10" s="1">
        <v>0.75</v>
      </c>
      <c r="O10" s="1">
        <v>2.17</v>
      </c>
      <c r="P10" s="1">
        <v>1000000</v>
      </c>
      <c r="Q10" s="1">
        <v>1000000</v>
      </c>
      <c r="R10" s="1">
        <v>1000000</v>
      </c>
      <c r="S10" s="2">
        <v>1.79</v>
      </c>
      <c r="T10" s="2">
        <v>1.79</v>
      </c>
      <c r="U10" s="2">
        <v>1.79</v>
      </c>
      <c r="V10" s="2">
        <v>0.7</v>
      </c>
      <c r="W10" s="2">
        <f t="shared" ref="W10:X10" si="3">V10</f>
        <v>0.7</v>
      </c>
      <c r="X10" s="2">
        <f t="shared" si="3"/>
        <v>0.7</v>
      </c>
      <c r="Y10">
        <v>0.7</v>
      </c>
      <c r="Z10">
        <v>0.7</v>
      </c>
      <c r="AA10">
        <v>0.7</v>
      </c>
      <c r="AB10" t="s">
        <v>8</v>
      </c>
    </row>
    <row r="11" spans="1:29" x14ac:dyDescent="0.2">
      <c r="A11" t="s">
        <v>34</v>
      </c>
      <c r="B11" t="s">
        <v>9</v>
      </c>
      <c r="C11" t="s">
        <v>8</v>
      </c>
      <c r="D11" s="1" t="s">
        <v>26</v>
      </c>
      <c r="E11" s="1" t="s">
        <v>45</v>
      </c>
      <c r="F11" s="1" t="s">
        <v>32</v>
      </c>
      <c r="G11" s="5">
        <v>3</v>
      </c>
      <c r="H11" s="5">
        <v>10</v>
      </c>
      <c r="I11" s="3">
        <v>0.03</v>
      </c>
      <c r="J11" s="3">
        <v>0.03</v>
      </c>
      <c r="K11" t="s">
        <v>6</v>
      </c>
      <c r="L11" s="1" t="s">
        <v>36</v>
      </c>
      <c r="M11" s="1">
        <v>1.74</v>
      </c>
      <c r="N11" s="1">
        <v>0.75</v>
      </c>
      <c r="O11" s="1">
        <v>2.17</v>
      </c>
      <c r="P11" s="1">
        <v>1000000</v>
      </c>
      <c r="Q11" s="1">
        <v>1000000</v>
      </c>
      <c r="R11" s="1">
        <v>1000000</v>
      </c>
      <c r="S11" s="2">
        <v>1.79</v>
      </c>
      <c r="T11" s="2">
        <v>1.79</v>
      </c>
      <c r="U11" s="2">
        <v>1.79</v>
      </c>
      <c r="V11" s="2">
        <v>0.7</v>
      </c>
      <c r="W11" s="2">
        <f t="shared" ref="W11:X11" si="4">V11</f>
        <v>0.7</v>
      </c>
      <c r="X11" s="2">
        <f t="shared" si="4"/>
        <v>0.7</v>
      </c>
      <c r="Y11">
        <v>0.7</v>
      </c>
      <c r="Z11">
        <v>0.7</v>
      </c>
      <c r="AA11">
        <v>0.7</v>
      </c>
      <c r="AB11" t="s">
        <v>8</v>
      </c>
    </row>
    <row r="12" spans="1:29" x14ac:dyDescent="0.2">
      <c r="A12" t="s">
        <v>35</v>
      </c>
      <c r="B12" s="1" t="s">
        <v>9</v>
      </c>
      <c r="C12" s="1" t="s">
        <v>8</v>
      </c>
      <c r="D12" s="1" t="s">
        <v>10</v>
      </c>
      <c r="E12" s="1" t="s">
        <v>41</v>
      </c>
      <c r="F12" s="1" t="s">
        <v>31</v>
      </c>
      <c r="G12" s="4">
        <v>2</v>
      </c>
      <c r="H12" s="4">
        <v>10</v>
      </c>
      <c r="I12" s="3">
        <v>0.03</v>
      </c>
      <c r="J12" s="3">
        <v>0.03</v>
      </c>
      <c r="K12" s="1" t="s">
        <v>6</v>
      </c>
      <c r="L12" s="1" t="s">
        <v>36</v>
      </c>
      <c r="M12" s="1">
        <v>1.74</v>
      </c>
      <c r="N12" s="1">
        <v>0.75</v>
      </c>
      <c r="O12" s="1">
        <v>2.17</v>
      </c>
      <c r="P12" s="1">
        <v>0</v>
      </c>
      <c r="Q12" s="7">
        <v>0</v>
      </c>
      <c r="R12" s="7">
        <v>0</v>
      </c>
      <c r="S12" s="2">
        <v>1.79</v>
      </c>
      <c r="T12" s="2">
        <v>1.79</v>
      </c>
      <c r="U12" s="2">
        <v>1.79</v>
      </c>
      <c r="V12" s="2">
        <v>0.7</v>
      </c>
      <c r="W12" s="2">
        <f t="shared" ref="W12:X12" si="5">V12</f>
        <v>0.7</v>
      </c>
      <c r="X12" s="2">
        <f t="shared" si="5"/>
        <v>0.7</v>
      </c>
      <c r="Y12">
        <v>0.7</v>
      </c>
      <c r="Z12">
        <v>0.7</v>
      </c>
      <c r="AA12">
        <v>0.7</v>
      </c>
      <c r="AB12" s="1" t="s">
        <v>8</v>
      </c>
      <c r="AC12"/>
    </row>
    <row r="13" spans="1:29" ht="18" customHeight="1" x14ac:dyDescent="0.2">
      <c r="A13" t="s">
        <v>35</v>
      </c>
      <c r="B13" s="1" t="s">
        <v>9</v>
      </c>
      <c r="C13" s="1" t="s">
        <v>8</v>
      </c>
      <c r="D13" s="1" t="s">
        <v>42</v>
      </c>
      <c r="E13" s="1" t="s">
        <v>42</v>
      </c>
      <c r="F13" s="1" t="s">
        <v>32</v>
      </c>
      <c r="G13" s="4">
        <v>0</v>
      </c>
      <c r="H13" s="4">
        <v>10</v>
      </c>
      <c r="I13" s="3">
        <v>0.03</v>
      </c>
      <c r="J13" s="3">
        <v>0.03</v>
      </c>
      <c r="K13" s="1" t="s">
        <v>6</v>
      </c>
      <c r="L13" s="1" t="s">
        <v>36</v>
      </c>
      <c r="M13" s="1">
        <v>1.74</v>
      </c>
      <c r="N13" s="1">
        <v>0.75</v>
      </c>
      <c r="O13" s="1">
        <v>2.17</v>
      </c>
      <c r="P13" s="1">
        <v>0</v>
      </c>
      <c r="Q13" s="7">
        <v>0</v>
      </c>
      <c r="R13" s="7">
        <v>0</v>
      </c>
      <c r="S13" s="2">
        <v>1.79</v>
      </c>
      <c r="T13" s="2">
        <v>1.79</v>
      </c>
      <c r="U13" s="2">
        <v>1.79</v>
      </c>
      <c r="V13" s="2">
        <v>0.7</v>
      </c>
      <c r="W13" s="2">
        <f t="shared" ref="W13:X13" si="6">V13</f>
        <v>0.7</v>
      </c>
      <c r="X13" s="2">
        <f t="shared" si="6"/>
        <v>0.7</v>
      </c>
      <c r="Y13">
        <v>0.7</v>
      </c>
      <c r="Z13">
        <v>0.7</v>
      </c>
      <c r="AA13">
        <v>0.7</v>
      </c>
      <c r="AB13" s="1" t="s">
        <v>8</v>
      </c>
      <c r="AC13"/>
    </row>
    <row r="14" spans="1:29" ht="18" customHeight="1" x14ac:dyDescent="0.2">
      <c r="A14" t="s">
        <v>35</v>
      </c>
      <c r="B14" s="1" t="s">
        <v>9</v>
      </c>
      <c r="C14" s="1" t="s">
        <v>8</v>
      </c>
      <c r="D14" s="1" t="s">
        <v>10</v>
      </c>
      <c r="E14" s="1" t="s">
        <v>43</v>
      </c>
      <c r="F14" s="1" t="s">
        <v>32</v>
      </c>
      <c r="G14" s="4">
        <v>3</v>
      </c>
      <c r="H14" s="4">
        <v>10</v>
      </c>
      <c r="I14" s="3">
        <v>0.03</v>
      </c>
      <c r="J14" s="3">
        <v>0.03</v>
      </c>
      <c r="K14" s="1" t="s">
        <v>6</v>
      </c>
      <c r="L14" s="1" t="s">
        <v>36</v>
      </c>
      <c r="M14" s="1">
        <v>1.74</v>
      </c>
      <c r="N14" s="1">
        <v>0.75</v>
      </c>
      <c r="O14" s="1">
        <v>2.17</v>
      </c>
      <c r="P14" s="1">
        <v>0</v>
      </c>
      <c r="Q14" s="7">
        <v>0</v>
      </c>
      <c r="R14" s="7">
        <v>0</v>
      </c>
      <c r="S14" s="2">
        <v>1.79</v>
      </c>
      <c r="T14" s="2">
        <v>1.79</v>
      </c>
      <c r="U14" s="2">
        <v>1.79</v>
      </c>
      <c r="V14" s="2">
        <v>0.7</v>
      </c>
      <c r="W14" s="2">
        <f t="shared" ref="W14:X14" si="7">V14</f>
        <v>0.7</v>
      </c>
      <c r="X14" s="2">
        <f t="shared" si="7"/>
        <v>0.7</v>
      </c>
      <c r="Y14">
        <v>0.7</v>
      </c>
      <c r="Z14">
        <v>0.7</v>
      </c>
      <c r="AA14">
        <v>0.7</v>
      </c>
      <c r="AB14" s="1" t="s">
        <v>8</v>
      </c>
      <c r="AC14"/>
    </row>
    <row r="15" spans="1:29" x14ac:dyDescent="0.2">
      <c r="A15" t="s">
        <v>35</v>
      </c>
      <c r="B15" s="1" t="s">
        <v>9</v>
      </c>
      <c r="C15" s="1" t="s">
        <v>8</v>
      </c>
      <c r="D15" s="1" t="s">
        <v>22</v>
      </c>
      <c r="E15" s="1" t="s">
        <v>44</v>
      </c>
      <c r="F15" s="1" t="s">
        <v>32</v>
      </c>
      <c r="G15" s="4">
        <v>3</v>
      </c>
      <c r="H15" s="4">
        <v>10</v>
      </c>
      <c r="I15" s="3">
        <v>0.03</v>
      </c>
      <c r="J15" s="3">
        <v>0.03</v>
      </c>
      <c r="K15" s="1" t="s">
        <v>6</v>
      </c>
      <c r="L15" s="1" t="s">
        <v>36</v>
      </c>
      <c r="M15" s="1">
        <v>1.74</v>
      </c>
      <c r="N15" s="1">
        <v>0.75</v>
      </c>
      <c r="O15" s="1">
        <v>2.17</v>
      </c>
      <c r="P15" s="10">
        <v>1000000</v>
      </c>
      <c r="Q15" s="11">
        <v>0</v>
      </c>
      <c r="R15" s="11">
        <v>5000000</v>
      </c>
      <c r="S15" s="2">
        <v>1.79</v>
      </c>
      <c r="T15" s="2">
        <v>1.79</v>
      </c>
      <c r="U15" s="2">
        <v>1.79</v>
      </c>
      <c r="V15" s="2">
        <v>0.7</v>
      </c>
      <c r="W15" s="2">
        <f t="shared" ref="W15:X15" si="8">V15</f>
        <v>0.7</v>
      </c>
      <c r="X15" s="2">
        <f t="shared" si="8"/>
        <v>0.7</v>
      </c>
      <c r="Y15">
        <v>0.7</v>
      </c>
      <c r="Z15">
        <v>0.7</v>
      </c>
      <c r="AA15">
        <v>0.7</v>
      </c>
      <c r="AB15" t="s">
        <v>8</v>
      </c>
    </row>
    <row r="16" spans="1:29" x14ac:dyDescent="0.2">
      <c r="A16" t="s">
        <v>35</v>
      </c>
      <c r="B16" s="1" t="s">
        <v>9</v>
      </c>
      <c r="C16" s="1" t="s">
        <v>8</v>
      </c>
      <c r="D16" s="1" t="s">
        <v>26</v>
      </c>
      <c r="E16" s="1" t="s">
        <v>45</v>
      </c>
      <c r="F16" s="1" t="s">
        <v>32</v>
      </c>
      <c r="G16" s="4">
        <v>3</v>
      </c>
      <c r="H16" s="4">
        <v>10</v>
      </c>
      <c r="I16" s="3">
        <v>0.03</v>
      </c>
      <c r="J16" s="3">
        <v>0.03</v>
      </c>
      <c r="K16" s="1" t="s">
        <v>6</v>
      </c>
      <c r="L16" s="1" t="s">
        <v>36</v>
      </c>
      <c r="M16" s="1">
        <v>1.74</v>
      </c>
      <c r="N16" s="1">
        <v>0.75</v>
      </c>
      <c r="O16" s="1">
        <v>2.17</v>
      </c>
      <c r="P16" s="10">
        <v>1000000</v>
      </c>
      <c r="Q16" s="11">
        <v>0</v>
      </c>
      <c r="R16" s="11">
        <v>5000000</v>
      </c>
      <c r="S16" s="2">
        <v>1.79</v>
      </c>
      <c r="T16" s="2">
        <v>1.79</v>
      </c>
      <c r="U16" s="2">
        <v>1.79</v>
      </c>
      <c r="V16" s="2">
        <v>0.7</v>
      </c>
      <c r="W16" s="2">
        <f t="shared" ref="W16:X16" si="9">V16</f>
        <v>0.7</v>
      </c>
      <c r="X16" s="2">
        <f t="shared" si="9"/>
        <v>0.7</v>
      </c>
      <c r="Y16">
        <v>0.7</v>
      </c>
      <c r="Z16">
        <v>0.7</v>
      </c>
      <c r="AA16">
        <v>0.7</v>
      </c>
      <c r="AB16" s="1" t="s">
        <v>8</v>
      </c>
    </row>
    <row r="17" spans="1:29" x14ac:dyDescent="0.2">
      <c r="A17" t="s">
        <v>38</v>
      </c>
      <c r="B17" s="1" t="s">
        <v>9</v>
      </c>
      <c r="C17" s="1" t="s">
        <v>8</v>
      </c>
      <c r="D17" s="1" t="s">
        <v>10</v>
      </c>
      <c r="E17" s="1" t="s">
        <v>41</v>
      </c>
      <c r="F17" s="1" t="s">
        <v>31</v>
      </c>
      <c r="G17" s="6">
        <v>2</v>
      </c>
      <c r="H17" s="4">
        <v>10</v>
      </c>
      <c r="I17" s="3">
        <v>0.03</v>
      </c>
      <c r="J17" s="3">
        <v>0.03</v>
      </c>
      <c r="K17" t="s">
        <v>37</v>
      </c>
      <c r="L17" s="1" t="s">
        <v>36</v>
      </c>
      <c r="M17" s="1">
        <v>1.74</v>
      </c>
      <c r="N17" s="1">
        <v>0.75</v>
      </c>
      <c r="O17" s="1">
        <v>2.17</v>
      </c>
      <c r="P17" s="1">
        <v>0</v>
      </c>
      <c r="Q17" s="1">
        <v>0</v>
      </c>
      <c r="R17" s="1">
        <v>0</v>
      </c>
      <c r="S17" s="2">
        <v>1.79</v>
      </c>
      <c r="T17" s="2">
        <v>1.79</v>
      </c>
      <c r="U17" s="2">
        <v>1.79</v>
      </c>
      <c r="V17" s="8">
        <v>0.7</v>
      </c>
      <c r="W17" s="8">
        <v>0.5</v>
      </c>
      <c r="X17" s="8">
        <v>4.5</v>
      </c>
      <c r="Y17">
        <v>0.7</v>
      </c>
      <c r="Z17">
        <v>0.7</v>
      </c>
      <c r="AA17">
        <v>0.7</v>
      </c>
      <c r="AB17" s="1" t="s">
        <v>8</v>
      </c>
      <c r="AC17"/>
    </row>
    <row r="18" spans="1:29" ht="18" customHeight="1" x14ac:dyDescent="0.2">
      <c r="A18" t="s">
        <v>38</v>
      </c>
      <c r="B18" s="1" t="s">
        <v>9</v>
      </c>
      <c r="C18" s="1" t="s">
        <v>8</v>
      </c>
      <c r="D18" s="1" t="s">
        <v>42</v>
      </c>
      <c r="E18" s="1" t="s">
        <v>42</v>
      </c>
      <c r="F18" s="1" t="s">
        <v>32</v>
      </c>
      <c r="G18" s="6">
        <v>0</v>
      </c>
      <c r="H18" s="4">
        <v>10</v>
      </c>
      <c r="I18" s="3">
        <v>0.03</v>
      </c>
      <c r="J18" s="3">
        <v>0.03</v>
      </c>
      <c r="K18" t="s">
        <v>37</v>
      </c>
      <c r="L18" s="1" t="s">
        <v>36</v>
      </c>
      <c r="M18" s="1">
        <v>1.74</v>
      </c>
      <c r="N18" s="1">
        <v>0.75</v>
      </c>
      <c r="O18" s="1">
        <v>2.17</v>
      </c>
      <c r="P18" s="1">
        <v>0</v>
      </c>
      <c r="Q18" s="1">
        <v>0</v>
      </c>
      <c r="R18" s="1">
        <v>0</v>
      </c>
      <c r="S18" s="2">
        <v>1.79</v>
      </c>
      <c r="T18" s="2">
        <v>1.79</v>
      </c>
      <c r="U18" s="2">
        <v>1.79</v>
      </c>
      <c r="V18" s="8">
        <v>0.7</v>
      </c>
      <c r="W18" s="8">
        <v>0.5</v>
      </c>
      <c r="X18" s="8">
        <v>4.5</v>
      </c>
      <c r="Y18">
        <v>0.7</v>
      </c>
      <c r="Z18">
        <v>0.7</v>
      </c>
      <c r="AA18">
        <v>0.7</v>
      </c>
      <c r="AB18" s="1" t="s">
        <v>8</v>
      </c>
      <c r="AC18"/>
    </row>
    <row r="19" spans="1:29" ht="18" customHeight="1" x14ac:dyDescent="0.2">
      <c r="A19" t="s">
        <v>38</v>
      </c>
      <c r="B19" s="1" t="s">
        <v>9</v>
      </c>
      <c r="C19" s="1" t="s">
        <v>8</v>
      </c>
      <c r="D19" s="1" t="s">
        <v>10</v>
      </c>
      <c r="E19" s="1" t="s">
        <v>43</v>
      </c>
      <c r="F19" s="1" t="s">
        <v>32</v>
      </c>
      <c r="G19" s="6">
        <v>3</v>
      </c>
      <c r="H19" s="4">
        <v>10</v>
      </c>
      <c r="I19" s="3">
        <v>0.03</v>
      </c>
      <c r="J19" s="3">
        <v>0.03</v>
      </c>
      <c r="K19" t="s">
        <v>37</v>
      </c>
      <c r="L19" s="1" t="s">
        <v>36</v>
      </c>
      <c r="M19" s="1">
        <v>1.74</v>
      </c>
      <c r="N19" s="1">
        <v>0.75</v>
      </c>
      <c r="O19" s="1">
        <v>2.17</v>
      </c>
      <c r="P19" s="1">
        <v>0</v>
      </c>
      <c r="Q19" s="1">
        <v>0</v>
      </c>
      <c r="R19" s="1">
        <v>0</v>
      </c>
      <c r="S19" s="2">
        <v>1.79</v>
      </c>
      <c r="T19" s="2">
        <v>1.79</v>
      </c>
      <c r="U19" s="2">
        <v>1.79</v>
      </c>
      <c r="V19" s="8">
        <v>0.7</v>
      </c>
      <c r="W19" s="8">
        <v>0.5</v>
      </c>
      <c r="X19" s="8">
        <v>4.5</v>
      </c>
      <c r="Y19">
        <v>0.7</v>
      </c>
      <c r="Z19">
        <v>0.7</v>
      </c>
      <c r="AA19">
        <v>0.7</v>
      </c>
      <c r="AB19" s="1" t="s">
        <v>8</v>
      </c>
      <c r="AC19"/>
    </row>
    <row r="20" spans="1:29" x14ac:dyDescent="0.2">
      <c r="A20" t="s">
        <v>38</v>
      </c>
      <c r="B20" t="s">
        <v>9</v>
      </c>
      <c r="C20" t="s">
        <v>8</v>
      </c>
      <c r="D20" s="1" t="s">
        <v>22</v>
      </c>
      <c r="E20" s="1" t="s">
        <v>44</v>
      </c>
      <c r="F20" s="1" t="s">
        <v>32</v>
      </c>
      <c r="G20" s="6">
        <v>3</v>
      </c>
      <c r="H20" s="5">
        <v>10</v>
      </c>
      <c r="I20" s="3">
        <v>0.03</v>
      </c>
      <c r="J20" s="3">
        <v>0.03</v>
      </c>
      <c r="K20" t="s">
        <v>37</v>
      </c>
      <c r="L20" s="1" t="s">
        <v>36</v>
      </c>
      <c r="M20" s="1">
        <v>1.74</v>
      </c>
      <c r="N20" s="1">
        <v>0.75</v>
      </c>
      <c r="O20" s="1">
        <v>2.17</v>
      </c>
      <c r="P20" s="1">
        <v>1000000</v>
      </c>
      <c r="Q20" s="1">
        <v>1000000</v>
      </c>
      <c r="R20" s="1">
        <v>1000000</v>
      </c>
      <c r="S20" s="2">
        <v>1.79</v>
      </c>
      <c r="T20" s="2">
        <v>1.79</v>
      </c>
      <c r="U20" s="2">
        <v>1.79</v>
      </c>
      <c r="V20" s="8">
        <v>0.7</v>
      </c>
      <c r="W20" s="9">
        <v>0.5</v>
      </c>
      <c r="X20" s="8">
        <v>4.5</v>
      </c>
      <c r="Y20">
        <v>0.7</v>
      </c>
      <c r="Z20">
        <v>0.7</v>
      </c>
      <c r="AA20">
        <v>0.7</v>
      </c>
      <c r="AB20" t="s">
        <v>8</v>
      </c>
    </row>
    <row r="21" spans="1:29" x14ac:dyDescent="0.2">
      <c r="A21" t="s">
        <v>38</v>
      </c>
      <c r="B21" s="1" t="s">
        <v>9</v>
      </c>
      <c r="C21" s="1" t="s">
        <v>8</v>
      </c>
      <c r="D21" s="1" t="s">
        <v>26</v>
      </c>
      <c r="E21" s="1" t="s">
        <v>45</v>
      </c>
      <c r="F21" s="1" t="s">
        <v>32</v>
      </c>
      <c r="G21" s="6">
        <v>3</v>
      </c>
      <c r="H21" s="4">
        <v>10</v>
      </c>
      <c r="I21" s="3">
        <v>0.03</v>
      </c>
      <c r="J21" s="3">
        <v>0.03</v>
      </c>
      <c r="K21" t="s">
        <v>37</v>
      </c>
      <c r="L21" s="1" t="s">
        <v>36</v>
      </c>
      <c r="M21" s="1">
        <v>1.74</v>
      </c>
      <c r="N21" s="1">
        <v>0.75</v>
      </c>
      <c r="O21" s="1">
        <v>2.17</v>
      </c>
      <c r="P21" s="1">
        <v>1000000</v>
      </c>
      <c r="Q21" s="1">
        <v>1000000</v>
      </c>
      <c r="R21" s="1">
        <v>1000000</v>
      </c>
      <c r="S21" s="2">
        <v>1.79</v>
      </c>
      <c r="T21" s="2">
        <v>1.79</v>
      </c>
      <c r="U21" s="2">
        <v>1.79</v>
      </c>
      <c r="V21" s="8">
        <v>0.7</v>
      </c>
      <c r="W21" s="8">
        <v>0.5</v>
      </c>
      <c r="X21" s="8">
        <v>4.5</v>
      </c>
      <c r="Y21">
        <v>0.7</v>
      </c>
      <c r="Z21">
        <v>0.7</v>
      </c>
      <c r="AA21">
        <v>0.7</v>
      </c>
      <c r="AB21" s="1" t="s">
        <v>8</v>
      </c>
    </row>
    <row r="22" spans="1:29" x14ac:dyDescent="0.2">
      <c r="A22" t="s">
        <v>39</v>
      </c>
      <c r="B22" s="1" t="s">
        <v>9</v>
      </c>
      <c r="C22" s="1" t="s">
        <v>8</v>
      </c>
      <c r="D22" s="1" t="s">
        <v>10</v>
      </c>
      <c r="E22" s="1" t="s">
        <v>41</v>
      </c>
      <c r="F22" s="1" t="s">
        <v>31</v>
      </c>
      <c r="G22" s="4">
        <v>2</v>
      </c>
      <c r="H22" s="4">
        <v>10</v>
      </c>
      <c r="I22" s="3">
        <v>0.03</v>
      </c>
      <c r="J22" s="3">
        <v>0.03</v>
      </c>
      <c r="K22" t="s">
        <v>37</v>
      </c>
      <c r="L22" s="1" t="s">
        <v>36</v>
      </c>
      <c r="M22" s="1">
        <v>1.74</v>
      </c>
      <c r="N22" s="1">
        <v>0.75</v>
      </c>
      <c r="O22" s="1">
        <v>2.17</v>
      </c>
      <c r="P22" s="1">
        <v>0</v>
      </c>
      <c r="Q22" s="1">
        <v>0</v>
      </c>
      <c r="R22" s="1">
        <v>0</v>
      </c>
      <c r="S22" s="2">
        <v>1.79</v>
      </c>
      <c r="T22" s="2">
        <v>1.79</v>
      </c>
      <c r="U22" s="2">
        <v>1.79</v>
      </c>
      <c r="V22" s="2">
        <v>0.7</v>
      </c>
      <c r="W22" s="2">
        <f>V22</f>
        <v>0.7</v>
      </c>
      <c r="X22" s="2">
        <f>W22</f>
        <v>0.7</v>
      </c>
      <c r="Y22">
        <v>0.7</v>
      </c>
      <c r="Z22">
        <v>0.7</v>
      </c>
      <c r="AA22">
        <v>0.7</v>
      </c>
      <c r="AB22" s="1" t="s">
        <v>8</v>
      </c>
    </row>
    <row r="23" spans="1:29" ht="18" customHeight="1" x14ac:dyDescent="0.2">
      <c r="A23" t="s">
        <v>39</v>
      </c>
      <c r="B23" s="1" t="s">
        <v>9</v>
      </c>
      <c r="C23" s="1" t="s">
        <v>8</v>
      </c>
      <c r="D23" s="1" t="s">
        <v>42</v>
      </c>
      <c r="E23" s="1" t="s">
        <v>42</v>
      </c>
      <c r="F23" s="1" t="s">
        <v>32</v>
      </c>
      <c r="G23" s="4">
        <v>0</v>
      </c>
      <c r="H23" s="4">
        <v>10</v>
      </c>
      <c r="I23" s="3">
        <v>0.03</v>
      </c>
      <c r="J23" s="3">
        <v>0.03</v>
      </c>
      <c r="K23" t="s">
        <v>37</v>
      </c>
      <c r="L23" s="1" t="s">
        <v>36</v>
      </c>
      <c r="M23" s="1">
        <v>1.74</v>
      </c>
      <c r="N23" s="1">
        <v>0.75</v>
      </c>
      <c r="O23" s="1">
        <v>2.17</v>
      </c>
      <c r="P23" s="1">
        <v>0</v>
      </c>
      <c r="Q23" s="1">
        <v>0</v>
      </c>
      <c r="R23" s="1">
        <v>0</v>
      </c>
      <c r="S23" s="2">
        <v>1.79</v>
      </c>
      <c r="T23" s="2">
        <v>1.79</v>
      </c>
      <c r="U23" s="2">
        <v>1.79</v>
      </c>
      <c r="V23" s="2">
        <v>0.7</v>
      </c>
      <c r="W23" s="2">
        <f t="shared" ref="W23:X23" si="10">V23</f>
        <v>0.7</v>
      </c>
      <c r="X23" s="2">
        <f t="shared" si="10"/>
        <v>0.7</v>
      </c>
      <c r="Y23">
        <v>0.7</v>
      </c>
      <c r="Z23">
        <v>0.7</v>
      </c>
      <c r="AA23">
        <v>0.7</v>
      </c>
      <c r="AB23" s="1" t="s">
        <v>8</v>
      </c>
    </row>
    <row r="24" spans="1:29" ht="18" customHeight="1" x14ac:dyDescent="0.2">
      <c r="A24" t="s">
        <v>39</v>
      </c>
      <c r="B24" s="1" t="s">
        <v>9</v>
      </c>
      <c r="C24" s="1" t="s">
        <v>8</v>
      </c>
      <c r="D24" s="1" t="s">
        <v>10</v>
      </c>
      <c r="E24" s="1" t="s">
        <v>43</v>
      </c>
      <c r="F24" s="1" t="s">
        <v>32</v>
      </c>
      <c r="G24" s="4">
        <v>3</v>
      </c>
      <c r="H24" s="4">
        <v>10</v>
      </c>
      <c r="I24" s="3">
        <v>0.03</v>
      </c>
      <c r="J24" s="3">
        <v>0.03</v>
      </c>
      <c r="K24" t="s">
        <v>37</v>
      </c>
      <c r="L24" s="1" t="s">
        <v>36</v>
      </c>
      <c r="M24" s="1">
        <v>1.74</v>
      </c>
      <c r="N24" s="1">
        <v>0.75</v>
      </c>
      <c r="O24" s="1">
        <v>2.17</v>
      </c>
      <c r="P24" s="1">
        <v>0</v>
      </c>
      <c r="Q24" s="1">
        <v>0</v>
      </c>
      <c r="R24" s="1">
        <v>0</v>
      </c>
      <c r="S24" s="2">
        <v>1.79</v>
      </c>
      <c r="T24" s="2">
        <v>1.79</v>
      </c>
      <c r="U24" s="2">
        <v>1.79</v>
      </c>
      <c r="V24" s="2">
        <v>0.7</v>
      </c>
      <c r="W24" s="2">
        <f t="shared" ref="W24:X24" si="11">V24</f>
        <v>0.7</v>
      </c>
      <c r="X24" s="2">
        <f t="shared" si="11"/>
        <v>0.7</v>
      </c>
      <c r="Y24">
        <v>0.7</v>
      </c>
      <c r="Z24">
        <v>0.7</v>
      </c>
      <c r="AA24">
        <v>0.7</v>
      </c>
      <c r="AB24" s="1" t="s">
        <v>8</v>
      </c>
    </row>
    <row r="25" spans="1:29" x14ac:dyDescent="0.2">
      <c r="A25" t="s">
        <v>39</v>
      </c>
      <c r="B25" t="s">
        <v>9</v>
      </c>
      <c r="C25" t="s">
        <v>8</v>
      </c>
      <c r="D25" s="1" t="s">
        <v>22</v>
      </c>
      <c r="E25" s="1" t="s">
        <v>44</v>
      </c>
      <c r="F25" s="1" t="s">
        <v>32</v>
      </c>
      <c r="G25" s="5">
        <v>3</v>
      </c>
      <c r="H25" s="5">
        <v>10</v>
      </c>
      <c r="I25" s="3">
        <v>0.03</v>
      </c>
      <c r="J25" s="3">
        <v>0.03</v>
      </c>
      <c r="K25" t="s">
        <v>37</v>
      </c>
      <c r="L25" s="1" t="s">
        <v>36</v>
      </c>
      <c r="M25" s="1">
        <v>1.74</v>
      </c>
      <c r="N25" s="1">
        <v>0.75</v>
      </c>
      <c r="O25" s="1">
        <v>2.17</v>
      </c>
      <c r="P25" s="1">
        <v>1000000</v>
      </c>
      <c r="Q25" s="1">
        <v>1000000</v>
      </c>
      <c r="R25" s="1">
        <v>1000000</v>
      </c>
      <c r="S25" s="2">
        <v>1.79</v>
      </c>
      <c r="T25" s="2">
        <v>1.79</v>
      </c>
      <c r="U25" s="2">
        <v>1.79</v>
      </c>
      <c r="V25" s="2">
        <v>0.7</v>
      </c>
      <c r="W25" s="2">
        <f t="shared" ref="W25:X25" si="12">V25</f>
        <v>0.7</v>
      </c>
      <c r="X25" s="2">
        <f t="shared" si="12"/>
        <v>0.7</v>
      </c>
      <c r="Y25">
        <v>0.7</v>
      </c>
      <c r="Z25">
        <v>0.7</v>
      </c>
      <c r="AA25">
        <v>0.7</v>
      </c>
      <c r="AB25" t="s">
        <v>8</v>
      </c>
    </row>
    <row r="26" spans="1:29" x14ac:dyDescent="0.2">
      <c r="A26" t="s">
        <v>39</v>
      </c>
      <c r="B26" t="s">
        <v>9</v>
      </c>
      <c r="C26" t="s">
        <v>8</v>
      </c>
      <c r="D26" s="1" t="s">
        <v>26</v>
      </c>
      <c r="E26" s="1" t="s">
        <v>45</v>
      </c>
      <c r="F26" s="1" t="s">
        <v>32</v>
      </c>
      <c r="G26" s="5">
        <v>3</v>
      </c>
      <c r="H26" s="5">
        <v>10</v>
      </c>
      <c r="I26" s="3">
        <v>0.03</v>
      </c>
      <c r="J26" s="3">
        <v>0.03</v>
      </c>
      <c r="K26" t="s">
        <v>37</v>
      </c>
      <c r="L26" s="1" t="s">
        <v>36</v>
      </c>
      <c r="M26" s="1">
        <v>1.74</v>
      </c>
      <c r="N26" s="1">
        <v>0.75</v>
      </c>
      <c r="O26" s="1">
        <v>2.17</v>
      </c>
      <c r="P26" s="1">
        <v>1000000</v>
      </c>
      <c r="Q26" s="1">
        <v>1000000</v>
      </c>
      <c r="R26" s="1">
        <v>1000000</v>
      </c>
      <c r="S26" s="2">
        <v>1.79</v>
      </c>
      <c r="T26" s="2">
        <v>1.79</v>
      </c>
      <c r="U26" s="2">
        <v>1.79</v>
      </c>
      <c r="V26" s="2">
        <v>0.7</v>
      </c>
      <c r="W26" s="2">
        <f t="shared" ref="W26:X26" si="13">V26</f>
        <v>0.7</v>
      </c>
      <c r="X26" s="2">
        <f t="shared" si="13"/>
        <v>0.7</v>
      </c>
      <c r="Y26">
        <v>0.7</v>
      </c>
      <c r="Z26">
        <v>0.7</v>
      </c>
      <c r="AA26">
        <v>0.7</v>
      </c>
      <c r="AB26" t="s">
        <v>8</v>
      </c>
    </row>
    <row r="27" spans="1:29" x14ac:dyDescent="0.2">
      <c r="A27" t="s">
        <v>40</v>
      </c>
      <c r="B27" s="1" t="s">
        <v>9</v>
      </c>
      <c r="C27" s="1" t="s">
        <v>8</v>
      </c>
      <c r="D27" s="1" t="s">
        <v>10</v>
      </c>
      <c r="E27" s="1" t="s">
        <v>41</v>
      </c>
      <c r="F27" s="1" t="s">
        <v>31</v>
      </c>
      <c r="G27" s="4">
        <v>2</v>
      </c>
      <c r="H27" s="4">
        <v>10</v>
      </c>
      <c r="I27" s="3">
        <v>0.03</v>
      </c>
      <c r="J27" s="3">
        <v>0.03</v>
      </c>
      <c r="K27" t="s">
        <v>37</v>
      </c>
      <c r="L27" s="1" t="s">
        <v>36</v>
      </c>
      <c r="M27" s="1">
        <v>1.74</v>
      </c>
      <c r="N27" s="1">
        <v>0.75</v>
      </c>
      <c r="O27" s="1">
        <v>2.17</v>
      </c>
      <c r="P27" s="1">
        <v>0</v>
      </c>
      <c r="Q27" s="7">
        <v>0</v>
      </c>
      <c r="R27" s="7">
        <v>0</v>
      </c>
      <c r="S27" s="2">
        <v>1.79</v>
      </c>
      <c r="T27" s="2">
        <v>1.79</v>
      </c>
      <c r="U27" s="2">
        <v>1.79</v>
      </c>
      <c r="V27" s="2">
        <v>0.7</v>
      </c>
      <c r="W27" s="2">
        <f t="shared" ref="W27:X27" si="14">V27</f>
        <v>0.7</v>
      </c>
      <c r="X27" s="2">
        <f t="shared" si="14"/>
        <v>0.7</v>
      </c>
      <c r="Y27">
        <v>0.7</v>
      </c>
      <c r="Z27">
        <v>0.7</v>
      </c>
      <c r="AA27">
        <v>0.7</v>
      </c>
      <c r="AB27" s="1" t="s">
        <v>8</v>
      </c>
      <c r="AC27"/>
    </row>
    <row r="28" spans="1:29" ht="18" customHeight="1" x14ac:dyDescent="0.2">
      <c r="A28" t="s">
        <v>40</v>
      </c>
      <c r="B28" s="1" t="s">
        <v>9</v>
      </c>
      <c r="C28" s="1" t="s">
        <v>8</v>
      </c>
      <c r="D28" s="1" t="s">
        <v>42</v>
      </c>
      <c r="E28" s="1" t="s">
        <v>42</v>
      </c>
      <c r="F28" s="1" t="s">
        <v>32</v>
      </c>
      <c r="G28" s="4">
        <v>0</v>
      </c>
      <c r="H28" s="4">
        <v>10</v>
      </c>
      <c r="I28" s="3">
        <v>0.03</v>
      </c>
      <c r="J28" s="3">
        <v>0.03</v>
      </c>
      <c r="K28" t="s">
        <v>37</v>
      </c>
      <c r="L28" s="1" t="s">
        <v>36</v>
      </c>
      <c r="M28" s="1">
        <v>1.74</v>
      </c>
      <c r="N28" s="1">
        <v>0.75</v>
      </c>
      <c r="O28" s="1">
        <v>2.17</v>
      </c>
      <c r="P28" s="1">
        <v>0</v>
      </c>
      <c r="Q28" s="7">
        <v>0</v>
      </c>
      <c r="R28" s="7">
        <v>0</v>
      </c>
      <c r="S28" s="2">
        <v>1.79</v>
      </c>
      <c r="T28" s="2">
        <v>1.79</v>
      </c>
      <c r="U28" s="2">
        <v>1.79</v>
      </c>
      <c r="V28" s="2">
        <v>0.7</v>
      </c>
      <c r="W28" s="2">
        <f t="shared" ref="W28:X28" si="15">V28</f>
        <v>0.7</v>
      </c>
      <c r="X28" s="2">
        <f t="shared" si="15"/>
        <v>0.7</v>
      </c>
      <c r="Y28">
        <v>0.7</v>
      </c>
      <c r="Z28">
        <v>0.7</v>
      </c>
      <c r="AA28">
        <v>0.7</v>
      </c>
      <c r="AB28" s="1" t="s">
        <v>8</v>
      </c>
      <c r="AC28"/>
    </row>
    <row r="29" spans="1:29" ht="18" customHeight="1" x14ac:dyDescent="0.2">
      <c r="A29" t="s">
        <v>40</v>
      </c>
      <c r="B29" s="1" t="s">
        <v>9</v>
      </c>
      <c r="C29" s="1" t="s">
        <v>8</v>
      </c>
      <c r="D29" s="1" t="s">
        <v>10</v>
      </c>
      <c r="E29" s="1" t="s">
        <v>43</v>
      </c>
      <c r="F29" s="1" t="s">
        <v>32</v>
      </c>
      <c r="G29" s="4">
        <v>3</v>
      </c>
      <c r="H29" s="4">
        <v>10</v>
      </c>
      <c r="I29" s="3">
        <v>0.03</v>
      </c>
      <c r="J29" s="3">
        <v>0.03</v>
      </c>
      <c r="K29" t="s">
        <v>37</v>
      </c>
      <c r="L29" s="1" t="s">
        <v>36</v>
      </c>
      <c r="M29" s="1">
        <v>1.74</v>
      </c>
      <c r="N29" s="1">
        <v>0.75</v>
      </c>
      <c r="O29" s="1">
        <v>2.17</v>
      </c>
      <c r="P29" s="1">
        <v>0</v>
      </c>
      <c r="Q29" s="7">
        <v>0</v>
      </c>
      <c r="R29" s="7">
        <v>0</v>
      </c>
      <c r="S29" s="2">
        <v>1.79</v>
      </c>
      <c r="T29" s="2">
        <v>1.79</v>
      </c>
      <c r="U29" s="2">
        <v>1.79</v>
      </c>
      <c r="V29" s="2">
        <v>0.7</v>
      </c>
      <c r="W29" s="2">
        <f t="shared" ref="W29:X29" si="16">V29</f>
        <v>0.7</v>
      </c>
      <c r="X29" s="2">
        <f t="shared" si="16"/>
        <v>0.7</v>
      </c>
      <c r="Y29">
        <v>0.7</v>
      </c>
      <c r="Z29">
        <v>0.7</v>
      </c>
      <c r="AA29">
        <v>0.7</v>
      </c>
      <c r="AB29" s="1" t="s">
        <v>8</v>
      </c>
      <c r="AC29"/>
    </row>
    <row r="30" spans="1:29" x14ac:dyDescent="0.2">
      <c r="A30" t="s">
        <v>40</v>
      </c>
      <c r="B30" s="1" t="s">
        <v>9</v>
      </c>
      <c r="C30" s="1" t="s">
        <v>8</v>
      </c>
      <c r="D30" s="1" t="s">
        <v>22</v>
      </c>
      <c r="E30" s="1" t="s">
        <v>44</v>
      </c>
      <c r="F30" s="1" t="s">
        <v>32</v>
      </c>
      <c r="G30" s="4">
        <v>3</v>
      </c>
      <c r="H30" s="4">
        <v>10</v>
      </c>
      <c r="I30" s="3">
        <v>0.03</v>
      </c>
      <c r="J30" s="3">
        <v>0.03</v>
      </c>
      <c r="K30" t="s">
        <v>37</v>
      </c>
      <c r="L30" s="1" t="s">
        <v>36</v>
      </c>
      <c r="M30" s="1">
        <v>1.74</v>
      </c>
      <c r="N30" s="1">
        <v>0.75</v>
      </c>
      <c r="O30" s="1">
        <v>2.17</v>
      </c>
      <c r="P30" s="10">
        <v>1000000</v>
      </c>
      <c r="Q30" s="11">
        <v>0</v>
      </c>
      <c r="R30" s="11">
        <v>5000000</v>
      </c>
      <c r="S30" s="2">
        <v>1.79</v>
      </c>
      <c r="T30" s="2">
        <v>1.79</v>
      </c>
      <c r="U30" s="2">
        <v>1.79</v>
      </c>
      <c r="V30" s="2">
        <v>0.7</v>
      </c>
      <c r="W30" s="2">
        <f t="shared" ref="W30:X30" si="17">V30</f>
        <v>0.7</v>
      </c>
      <c r="X30" s="2">
        <f t="shared" si="17"/>
        <v>0.7</v>
      </c>
      <c r="Y30">
        <v>0.7</v>
      </c>
      <c r="Z30">
        <v>0.7</v>
      </c>
      <c r="AA30">
        <v>0.7</v>
      </c>
      <c r="AB30" t="s">
        <v>8</v>
      </c>
    </row>
    <row r="31" spans="1:29" x14ac:dyDescent="0.2">
      <c r="A31" t="s">
        <v>40</v>
      </c>
      <c r="B31" s="1" t="s">
        <v>9</v>
      </c>
      <c r="C31" s="1" t="s">
        <v>8</v>
      </c>
      <c r="D31" s="1" t="s">
        <v>26</v>
      </c>
      <c r="E31" s="1" t="s">
        <v>45</v>
      </c>
      <c r="F31" s="1" t="s">
        <v>32</v>
      </c>
      <c r="G31" s="4">
        <v>3</v>
      </c>
      <c r="H31" s="4">
        <v>10</v>
      </c>
      <c r="I31" s="3">
        <v>0.03</v>
      </c>
      <c r="J31" s="3">
        <v>0.03</v>
      </c>
      <c r="K31" t="s">
        <v>37</v>
      </c>
      <c r="L31" s="1" t="s">
        <v>36</v>
      </c>
      <c r="M31" s="1">
        <v>1.74</v>
      </c>
      <c r="N31" s="1">
        <v>0.75</v>
      </c>
      <c r="O31" s="1">
        <v>2.17</v>
      </c>
      <c r="P31" s="10">
        <v>1000000</v>
      </c>
      <c r="Q31" s="11">
        <v>0</v>
      </c>
      <c r="R31" s="11">
        <v>5000000</v>
      </c>
      <c r="S31" s="2">
        <v>1.79</v>
      </c>
      <c r="T31" s="2">
        <v>1.79</v>
      </c>
      <c r="U31" s="2">
        <v>1.79</v>
      </c>
      <c r="V31" s="2">
        <v>0.7</v>
      </c>
      <c r="W31" s="2">
        <f t="shared" ref="W31:X31" si="18">V31</f>
        <v>0.7</v>
      </c>
      <c r="X31" s="2">
        <f t="shared" si="18"/>
        <v>0.7</v>
      </c>
      <c r="Y31">
        <v>0.7</v>
      </c>
      <c r="Z31">
        <v>0.7</v>
      </c>
      <c r="AA31">
        <v>0.7</v>
      </c>
      <c r="AB31" s="1" t="s">
        <v>8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Xiao Li</cp:lastModifiedBy>
  <dcterms:created xsi:type="dcterms:W3CDTF">2023-02-10T09:57:19Z</dcterms:created>
  <dcterms:modified xsi:type="dcterms:W3CDTF">2026-06-30T19:54:23Z</dcterms:modified>
</cp:coreProperties>
</file>