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input/"/>
    </mc:Choice>
  </mc:AlternateContent>
  <xr:revisionPtr revIDLastSave="0" documentId="13_ncr:1_{BBF5D0D8-9496-DE43-80B0-88415FAE7765}" xr6:coauthVersionLast="47" xr6:coauthVersionMax="47" xr10:uidLastSave="{00000000-0000-0000-0000-000000000000}"/>
  <bookViews>
    <workbookView xWindow="31340" yWindow="1440" windowWidth="28800" windowHeight="16940" xr2:uid="{977BB70A-380E-EB4F-AB47-66A4F41DA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1" l="1"/>
  <c r="S3" i="1"/>
  <c r="AS2" i="1"/>
  <c r="AM2" i="1"/>
  <c r="X3" i="1"/>
  <c r="W3" i="1"/>
  <c r="W2" i="1"/>
  <c r="X2" i="1"/>
  <c r="AY3" i="1"/>
  <c r="AV3" i="1"/>
  <c r="AU3" i="1"/>
  <c r="AS3" i="1"/>
  <c r="AR3" i="1"/>
  <c r="AM3" i="1"/>
  <c r="AG3" i="1"/>
  <c r="AJ3" i="1"/>
  <c r="AI3" i="1"/>
  <c r="AF3" i="1"/>
  <c r="AL3" i="1"/>
</calcChain>
</file>

<file path=xl/sharedStrings.xml><?xml version="1.0" encoding="utf-8"?>
<sst xmlns="http://schemas.openxmlformats.org/spreadsheetml/2006/main" count="60" uniqueCount="59">
  <si>
    <t>scenario</t>
  </si>
  <si>
    <t>country</t>
  </si>
  <si>
    <t>ISO3</t>
  </si>
  <si>
    <t>basecase</t>
  </si>
  <si>
    <t>Malawi</t>
  </si>
  <si>
    <t>MWI</t>
  </si>
  <si>
    <t>Ghana</t>
  </si>
  <si>
    <t>GHA</t>
  </si>
  <si>
    <t>cost_admin_mean</t>
  </si>
  <si>
    <t>prob_mod_sev_MA_mean_under5</t>
  </si>
  <si>
    <t>prob_mod_sev_MA_alpha_under5</t>
  </si>
  <si>
    <t>prob_mod_sev_MA_beta_under5</t>
  </si>
  <si>
    <t>prob_mod_sev_hosp_mean_under5</t>
  </si>
  <si>
    <t>CFR_mean</t>
  </si>
  <si>
    <t>CFR_alpha</t>
  </si>
  <si>
    <t>CFR_beta</t>
  </si>
  <si>
    <t>CFR_nonMA_mean</t>
  </si>
  <si>
    <t>CFR_nonMA_alpha</t>
  </si>
  <si>
    <t>CFR_nonMA_beta</t>
  </si>
  <si>
    <t>cost_outp_nonsev_mean</t>
  </si>
  <si>
    <t>cost_outp_nonsev_shape</t>
  </si>
  <si>
    <t>cost_outp_mod_sev_shape</t>
  </si>
  <si>
    <t>cost_hosp_mean</t>
  </si>
  <si>
    <t>cost_outp_mod_sev_mean</t>
  </si>
  <si>
    <t>cost_household_inpatient_mean</t>
  </si>
  <si>
    <t>cost_household_outpatient_mod_sev_mean</t>
  </si>
  <si>
    <t>cost_household_outpatient_nonsev_mean</t>
  </si>
  <si>
    <t>wastage_singlevial_mean</t>
  </si>
  <si>
    <t>wastage_singlevial_a</t>
  </si>
  <si>
    <t>wastage_singlevial_b</t>
  </si>
  <si>
    <t>cost_nonMA_mean</t>
  </si>
  <si>
    <t>cost_nonMA_lci</t>
  </si>
  <si>
    <t>cost_nonMA_uci</t>
  </si>
  <si>
    <t>cost_admin_lci</t>
  </si>
  <si>
    <t>cost_admin_uci</t>
  </si>
  <si>
    <t>wastage_5dosesvial_mean</t>
  </si>
  <si>
    <t>wastage_5dosesvial_a</t>
  </si>
  <si>
    <t>wastage_5dosesvial_b</t>
  </si>
  <si>
    <t>wastage_10dosesvial_mean</t>
  </si>
  <si>
    <t>wastage_10dosesvial_a</t>
  </si>
  <si>
    <t>wastage_10dosesvial_b</t>
  </si>
  <si>
    <t>days_illness_mean</t>
  </si>
  <si>
    <t>days_illness_uci</t>
  </si>
  <si>
    <t>days_illness_lci</t>
  </si>
  <si>
    <t>prob_nonsev_op_mean_under5</t>
  </si>
  <si>
    <t>prob_nonsev_op_alpha_under5</t>
  </si>
  <si>
    <t>prob_nonsev_op_beta_under5</t>
  </si>
  <si>
    <t>cost_hosp_shape</t>
  </si>
  <si>
    <t>cost_outp_nonsev_rate</t>
  </si>
  <si>
    <t>cost_outp_mod_sev_rate</t>
  </si>
  <si>
    <t>cost_hosp_rate</t>
  </si>
  <si>
    <t>cost_household_inpatient_shape</t>
  </si>
  <si>
    <t>cost_household_inpatient_rate</t>
  </si>
  <si>
    <t>cost_household_outpatient_mod_sev_shape</t>
  </si>
  <si>
    <t>cost_household_outpatient_mod_sev_rate</t>
  </si>
  <si>
    <t>cost_household_outpatient_nonsev_shape</t>
  </si>
  <si>
    <t>cost_household_outpatient_nonsev_rate</t>
  </si>
  <si>
    <t xml:space="preserve">prob_mod_sev_hosp_lci_under5 </t>
  </si>
  <si>
    <t>prob_mod_sev_hosp_uci_under5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</si>
</sst>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1" applyNumberFormat="1" applyFont="1" applyFill="1"/>
    <xf numFmtId="2" fontId="3" fillId="0" borderId="0" xfId="0" applyNumberFormat="1" applyFont="1"/>
    <xf numFmtId="43" fontId="0" fillId="0" borderId="0" xfId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95D5-8B44-4842-A271-C98BDC121E79}">
  <dimension ref="A1:BB3"/>
  <sheetViews>
    <sheetView tabSelected="1" topLeftCell="AI1" workbookViewId="0">
      <selection activeCell="AQ3" sqref="AQ3"/>
    </sheetView>
  </sheetViews>
  <sheetFormatPr baseColWidth="10" defaultRowHeight="16" x14ac:dyDescent="0.2"/>
  <cols>
    <col min="4" max="4" width="16.5" bestFit="1" customWidth="1"/>
    <col min="5" max="6" width="16.5" customWidth="1"/>
    <col min="19" max="19" width="15.33203125" customWidth="1"/>
    <col min="33" max="33" width="21.1640625" bestFit="1" customWidth="1"/>
    <col min="34" max="34" width="23.5" bestFit="1" customWidth="1"/>
    <col min="35" max="35" width="23.6640625" bestFit="1" customWidth="1"/>
    <col min="36" max="36" width="23" bestFit="1" customWidth="1"/>
    <col min="37" max="37" width="15" bestFit="1" customWidth="1"/>
  </cols>
  <sheetData>
    <row r="1" spans="1:54" s="7" customFormat="1" ht="68" x14ac:dyDescent="0.2">
      <c r="A1" s="6" t="s">
        <v>0</v>
      </c>
      <c r="B1" s="6" t="s">
        <v>1</v>
      </c>
      <c r="C1" s="6" t="s">
        <v>2</v>
      </c>
      <c r="D1" s="6" t="s">
        <v>8</v>
      </c>
      <c r="E1" s="6" t="s">
        <v>33</v>
      </c>
      <c r="F1" s="6" t="s">
        <v>34</v>
      </c>
      <c r="G1" s="6" t="s">
        <v>27</v>
      </c>
      <c r="H1" s="6" t="s">
        <v>28</v>
      </c>
      <c r="I1" s="6" t="s">
        <v>29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57</v>
      </c>
      <c r="U1" s="6" t="s">
        <v>58</v>
      </c>
      <c r="V1" s="6" t="s">
        <v>44</v>
      </c>
      <c r="W1" s="6" t="s">
        <v>45</v>
      </c>
      <c r="X1" s="6" t="s">
        <v>46</v>
      </c>
      <c r="Y1" s="6" t="s">
        <v>13</v>
      </c>
      <c r="Z1" s="6" t="s">
        <v>14</v>
      </c>
      <c r="AA1" s="6" t="s">
        <v>15</v>
      </c>
      <c r="AB1" s="6" t="s">
        <v>16</v>
      </c>
      <c r="AC1" s="6" t="s">
        <v>17</v>
      </c>
      <c r="AD1" s="6" t="s">
        <v>18</v>
      </c>
      <c r="AE1" s="6" t="s">
        <v>19</v>
      </c>
      <c r="AF1" s="6" t="s">
        <v>20</v>
      </c>
      <c r="AG1" s="6" t="s">
        <v>48</v>
      </c>
      <c r="AH1" s="6" t="s">
        <v>23</v>
      </c>
      <c r="AI1" s="6" t="s">
        <v>21</v>
      </c>
      <c r="AJ1" s="6" t="s">
        <v>49</v>
      </c>
      <c r="AK1" s="6" t="s">
        <v>22</v>
      </c>
      <c r="AL1" s="6" t="s">
        <v>47</v>
      </c>
      <c r="AM1" s="6" t="s">
        <v>50</v>
      </c>
      <c r="AN1" s="6" t="s">
        <v>41</v>
      </c>
      <c r="AO1" s="6" t="s">
        <v>43</v>
      </c>
      <c r="AP1" s="6" t="s">
        <v>42</v>
      </c>
      <c r="AQ1" s="6" t="s">
        <v>24</v>
      </c>
      <c r="AR1" s="6" t="s">
        <v>51</v>
      </c>
      <c r="AS1" s="6" t="s">
        <v>52</v>
      </c>
      <c r="AT1" s="6" t="s">
        <v>25</v>
      </c>
      <c r="AU1" s="6" t="s">
        <v>53</v>
      </c>
      <c r="AV1" s="6" t="s">
        <v>54</v>
      </c>
      <c r="AW1" s="6" t="s">
        <v>26</v>
      </c>
      <c r="AX1" s="6" t="s">
        <v>55</v>
      </c>
      <c r="AY1" s="6" t="s">
        <v>56</v>
      </c>
      <c r="AZ1" s="6" t="s">
        <v>30</v>
      </c>
      <c r="BA1" s="6" t="s">
        <v>31</v>
      </c>
      <c r="BB1" s="6" t="s">
        <v>32</v>
      </c>
    </row>
    <row r="2" spans="1:54" x14ac:dyDescent="0.2">
      <c r="A2" s="1" t="s">
        <v>3</v>
      </c>
      <c r="B2" s="1" t="s">
        <v>4</v>
      </c>
      <c r="C2" s="1" t="s">
        <v>5</v>
      </c>
      <c r="D2">
        <v>1.74</v>
      </c>
      <c r="E2">
        <v>0.75</v>
      </c>
      <c r="F2">
        <v>2.71</v>
      </c>
      <c r="G2">
        <v>0.05</v>
      </c>
      <c r="H2">
        <v>4</v>
      </c>
      <c r="I2">
        <v>80</v>
      </c>
      <c r="J2">
        <v>0.15</v>
      </c>
      <c r="K2">
        <v>9</v>
      </c>
      <c r="L2">
        <v>60</v>
      </c>
      <c r="M2">
        <v>0.2</v>
      </c>
      <c r="N2">
        <v>4</v>
      </c>
      <c r="O2">
        <v>20</v>
      </c>
      <c r="P2">
        <v>0.66</v>
      </c>
      <c r="Q2">
        <v>129</v>
      </c>
      <c r="R2">
        <v>67</v>
      </c>
      <c r="S2">
        <v>0.6</v>
      </c>
      <c r="T2">
        <v>0.4</v>
      </c>
      <c r="U2">
        <v>0.8</v>
      </c>
      <c r="V2">
        <v>0.46700000000000003</v>
      </c>
      <c r="W2" s="5">
        <f>V2*((V2*(1-V2))/(((0.73-0.221)/(2*1.96))^2)-1)</f>
        <v>6.4274168716223876</v>
      </c>
      <c r="X2" s="5">
        <f>(1-V2)*((V2*(1-V2))/(((0.73-0.221)/(2*1.96))^2)-1)</f>
        <v>7.3357884209309034</v>
      </c>
      <c r="Y2">
        <v>1.0999999999999999E-2</v>
      </c>
      <c r="Z2">
        <v>6.74</v>
      </c>
      <c r="AA2">
        <v>606.29</v>
      </c>
      <c r="AB2">
        <v>2.5000000000000001E-2</v>
      </c>
      <c r="AC2">
        <v>6.63</v>
      </c>
      <c r="AD2">
        <v>258.72000000000003</v>
      </c>
      <c r="AE2">
        <v>12.5</v>
      </c>
      <c r="AF2">
        <v>7.56</v>
      </c>
      <c r="AG2" s="5">
        <v>0.6</v>
      </c>
      <c r="AH2">
        <v>23.24</v>
      </c>
      <c r="AI2" s="5">
        <v>15.1753</v>
      </c>
      <c r="AJ2" s="5">
        <v>0.65</v>
      </c>
      <c r="AK2">
        <v>68.66</v>
      </c>
      <c r="AL2">
        <v>1.39</v>
      </c>
      <c r="AM2" s="5">
        <f>1/43.59</f>
        <v>2.2941041523285157E-2</v>
      </c>
      <c r="AN2">
        <v>6</v>
      </c>
      <c r="AO2">
        <v>5.9</v>
      </c>
      <c r="AP2">
        <v>6.1</v>
      </c>
      <c r="AQ2">
        <v>17.190000000000001</v>
      </c>
      <c r="AR2">
        <v>0.81</v>
      </c>
      <c r="AS2" s="5">
        <f>1/18.76</f>
        <v>5.3304904051172705E-2</v>
      </c>
      <c r="AT2">
        <v>10.69</v>
      </c>
      <c r="AU2">
        <v>0.79</v>
      </c>
      <c r="AV2" s="5">
        <v>7.0000000000000007E-2</v>
      </c>
      <c r="AW2">
        <v>0.77</v>
      </c>
      <c r="AX2">
        <v>0.24</v>
      </c>
      <c r="AY2" s="5">
        <f>0.31</f>
        <v>0.31</v>
      </c>
      <c r="AZ2">
        <v>2.4</v>
      </c>
      <c r="BA2">
        <v>1.2</v>
      </c>
      <c r="BB2">
        <v>3.6</v>
      </c>
    </row>
    <row r="3" spans="1:54" x14ac:dyDescent="0.2">
      <c r="A3" s="1" t="s">
        <v>3</v>
      </c>
      <c r="B3" t="s">
        <v>6</v>
      </c>
      <c r="C3" t="s">
        <v>7</v>
      </c>
      <c r="D3">
        <v>2.37</v>
      </c>
      <c r="E3">
        <v>1.08</v>
      </c>
      <c r="F3">
        <v>3.66</v>
      </c>
      <c r="G3">
        <v>0.05</v>
      </c>
      <c r="H3">
        <v>4</v>
      </c>
      <c r="I3">
        <v>80</v>
      </c>
      <c r="J3">
        <v>0.15</v>
      </c>
      <c r="K3">
        <v>9</v>
      </c>
      <c r="L3">
        <v>60</v>
      </c>
      <c r="M3">
        <v>0.2</v>
      </c>
      <c r="N3">
        <v>4</v>
      </c>
      <c r="O3">
        <v>20</v>
      </c>
      <c r="P3">
        <v>0.67</v>
      </c>
      <c r="Q3">
        <v>213</v>
      </c>
      <c r="R3">
        <v>104</v>
      </c>
      <c r="S3">
        <f>S2</f>
        <v>0.6</v>
      </c>
      <c r="T3">
        <v>0.4</v>
      </c>
      <c r="U3">
        <v>0.8</v>
      </c>
      <c r="V3">
        <v>0.42099999999999999</v>
      </c>
      <c r="W3" s="5">
        <f>V3*((V3*(1-V3))/(((0.686-0.194)/(2*1.96))^2)-1)</f>
        <v>6.0935539332143556</v>
      </c>
      <c r="X3" s="5">
        <f>(1-V3)*((V3*(1-V3))/(((0.686-0.194)/(2*1.96))^2)-1)</f>
        <v>8.380445908149909</v>
      </c>
      <c r="Y3">
        <v>1.0999999999999999E-2</v>
      </c>
      <c r="Z3">
        <v>6.74</v>
      </c>
      <c r="AA3">
        <v>606.29</v>
      </c>
      <c r="AB3">
        <v>2.5000000000000001E-2</v>
      </c>
      <c r="AC3">
        <v>6.63</v>
      </c>
      <c r="AD3">
        <v>258.72000000000003</v>
      </c>
      <c r="AE3">
        <v>4.75</v>
      </c>
      <c r="AF3" s="2">
        <f>AE3^2/(AE3/2)^2</f>
        <v>4</v>
      </c>
      <c r="AG3" s="3">
        <f>AE3/(AE3/2)^2</f>
        <v>0.84210526315789469</v>
      </c>
      <c r="AH3">
        <v>5.37</v>
      </c>
      <c r="AI3" s="2">
        <f>AH3^2/(AH3/2)^2</f>
        <v>4</v>
      </c>
      <c r="AJ3" s="3">
        <f>AH3/(AH3/2)^2</f>
        <v>0.74487895716945995</v>
      </c>
      <c r="AK3">
        <v>49.75</v>
      </c>
      <c r="AL3" s="2">
        <f>AK3^2/(AK3/2)^2</f>
        <v>4</v>
      </c>
      <c r="AM3" s="3">
        <f>AK3/(AK3/2)^2</f>
        <v>8.0402010050251257E-2</v>
      </c>
      <c r="AN3">
        <v>6</v>
      </c>
      <c r="AO3">
        <v>5.9</v>
      </c>
      <c r="AP3">
        <v>6.1</v>
      </c>
      <c r="AQ3">
        <v>22.22</v>
      </c>
      <c r="AR3" s="2">
        <f>AQ3^2/(AQ3/2)^2</f>
        <v>4</v>
      </c>
      <c r="AS3" s="3">
        <f>AQ3/(AQ3/2)^2</f>
        <v>0.18001800180018002</v>
      </c>
      <c r="AT3">
        <v>2.4</v>
      </c>
      <c r="AU3" s="2">
        <f>AT3^2/(AT3/2)^2</f>
        <v>4</v>
      </c>
      <c r="AV3" s="3">
        <f>AT3/(AT3/2)^2</f>
        <v>1.6666666666666667</v>
      </c>
      <c r="AW3">
        <v>2.12</v>
      </c>
      <c r="AX3" s="4">
        <v>4</v>
      </c>
      <c r="AY3" s="3">
        <f>AW3/(AW3/2)^2</f>
        <v>1.8867924528301885</v>
      </c>
      <c r="AZ3">
        <v>2.4</v>
      </c>
      <c r="BA3">
        <v>1.2</v>
      </c>
      <c r="BB3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Xiao Li</cp:lastModifiedBy>
  <dcterms:created xsi:type="dcterms:W3CDTF">2025-01-28T09:39:32Z</dcterms:created>
  <dcterms:modified xsi:type="dcterms:W3CDTF">2026-07-22T20:24:18Z</dcterms:modified>
</cp:coreProperties>
</file>